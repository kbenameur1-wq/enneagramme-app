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autoCompressPictures="0"/>
  <mc:AlternateContent xmlns:mc="http://schemas.openxmlformats.org/markup-compatibility/2006">
    <mc:Choice Requires="x15">
      <x15ac:absPath xmlns:x15ac="http://schemas.microsoft.com/office/spreadsheetml/2010/11/ac" url="D:\MOOCS 2021\ENNEAGRAMME\RESSOURCES PEDAGOGIQUES\"/>
    </mc:Choice>
  </mc:AlternateContent>
  <xr:revisionPtr revIDLastSave="0" documentId="8_{FBED1C81-C9A8-4637-B3D7-EED04EE53CDC}" xr6:coauthVersionLast="47" xr6:coauthVersionMax="47" xr10:uidLastSave="{00000000-0000-0000-0000-000000000000}"/>
  <bookViews>
    <workbookView xWindow="-108" yWindow="-108" windowWidth="23256" windowHeight="12456" tabRatio="500" xr2:uid="{00000000-000D-0000-FFFF-FFFF00000000}"/>
  </bookViews>
  <sheets>
    <sheet name="Questionnaire" sheetId="1" r:id="rId1"/>
    <sheet name="Résultat" sheetId="2" r:id="rId2"/>
    <sheet name="Feuil1" sheetId="3" r:id="rId3"/>
  </sheets>
  <definedNames>
    <definedName name="_xlnm.Print_Area" localSheetId="0">Questionnaire!$A$1:$D$185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2" l="1"/>
  <c r="F4" i="2"/>
  <c r="AA21" i="2"/>
  <c r="R21" i="2"/>
  <c r="X22" i="2"/>
  <c r="AA22" i="2"/>
  <c r="U22" i="2"/>
  <c r="O22" i="2"/>
  <c r="R22" i="2"/>
  <c r="L22" i="2"/>
  <c r="F22" i="2"/>
  <c r="C22" i="2"/>
  <c r="I22" i="2"/>
  <c r="L21" i="2"/>
  <c r="C21" i="2"/>
  <c r="U21" i="2"/>
  <c r="I21" i="2"/>
  <c r="O21" i="2"/>
  <c r="F21" i="2"/>
  <c r="X21" i="2"/>
  <c r="F20" i="2"/>
  <c r="X20" i="2"/>
  <c r="O20" i="2"/>
  <c r="C20" i="2"/>
  <c r="U20" i="2"/>
  <c r="L20" i="2"/>
  <c r="AA20" i="2"/>
  <c r="R20" i="2"/>
  <c r="I20" i="2"/>
  <c r="X18" i="2"/>
  <c r="AA18" i="2"/>
  <c r="U18" i="2"/>
  <c r="O18" i="2"/>
  <c r="R18" i="2"/>
  <c r="L18" i="2"/>
  <c r="F18" i="2"/>
  <c r="C18" i="2"/>
  <c r="I18" i="2"/>
  <c r="L17" i="2"/>
  <c r="C17" i="2"/>
  <c r="U17" i="2"/>
  <c r="I17" i="2"/>
  <c r="AA17" i="2"/>
  <c r="R17" i="2"/>
  <c r="O17" i="2"/>
  <c r="F17" i="2"/>
  <c r="X17" i="2"/>
  <c r="F16" i="2"/>
  <c r="X16" i="2"/>
  <c r="O16" i="2"/>
  <c r="C16" i="2"/>
  <c r="U16" i="2"/>
  <c r="L16" i="2"/>
  <c r="AA16" i="2"/>
  <c r="R16" i="2"/>
  <c r="I16" i="2"/>
  <c r="X14" i="2"/>
  <c r="C14" i="2"/>
  <c r="R14" i="2"/>
  <c r="O14" i="2"/>
  <c r="I14" i="2"/>
  <c r="U14" i="2"/>
  <c r="F14" i="2"/>
  <c r="AA14" i="2"/>
  <c r="L14" i="2"/>
  <c r="U13" i="2"/>
  <c r="I13" i="2"/>
  <c r="O13" i="2"/>
  <c r="L13" i="2"/>
  <c r="F13" i="2"/>
  <c r="AA13" i="2"/>
  <c r="X13" i="2"/>
  <c r="R13" i="2"/>
  <c r="C13" i="2"/>
  <c r="AA12" i="2"/>
  <c r="F12" i="2"/>
  <c r="L12" i="2"/>
  <c r="C12" i="2"/>
  <c r="X12" i="2"/>
  <c r="R12" i="2"/>
  <c r="I12" i="2"/>
  <c r="O12" i="2"/>
  <c r="U12" i="2"/>
  <c r="F10" i="2"/>
  <c r="U10" i="2"/>
  <c r="R10" i="2"/>
  <c r="O10" i="2"/>
  <c r="AA10" i="2"/>
  <c r="C10" i="2"/>
  <c r="X10" i="2"/>
  <c r="L10" i="2"/>
  <c r="I10" i="2"/>
  <c r="C9" i="2"/>
  <c r="AA9" i="2"/>
  <c r="O9" i="2"/>
  <c r="L9" i="2"/>
  <c r="I9" i="2"/>
  <c r="X9" i="2"/>
  <c r="U9" i="2"/>
  <c r="R9" i="2"/>
  <c r="F9" i="2"/>
  <c r="X8" i="2"/>
  <c r="I8" i="2"/>
  <c r="L8" i="2"/>
  <c r="U8" i="2"/>
  <c r="F8" i="2"/>
  <c r="R8" i="2"/>
  <c r="AA8" i="2"/>
  <c r="O8" i="2"/>
  <c r="C8" i="2"/>
  <c r="F6" i="2"/>
  <c r="C6" i="2"/>
  <c r="AA6" i="2"/>
  <c r="X6" i="2"/>
  <c r="U6" i="2"/>
  <c r="R6" i="2"/>
  <c r="O6" i="2"/>
  <c r="L6" i="2"/>
  <c r="I6" i="2"/>
  <c r="C5" i="2"/>
  <c r="AA5" i="2"/>
  <c r="X5" i="2"/>
  <c r="U5" i="2"/>
  <c r="R5" i="2"/>
  <c r="O5" i="2"/>
  <c r="L5" i="2"/>
  <c r="I5" i="2"/>
  <c r="F5" i="2"/>
  <c r="AA4" i="2"/>
  <c r="X4" i="2"/>
  <c r="U4" i="2"/>
  <c r="R4" i="2"/>
  <c r="O4" i="2"/>
  <c r="L4" i="2"/>
  <c r="I4" i="2"/>
  <c r="I25" i="2"/>
  <c r="C25" i="2"/>
  <c r="AE34" i="2"/>
  <c r="F25" i="2"/>
  <c r="AE26" i="2"/>
  <c r="AE27" i="2"/>
  <c r="L25" i="2"/>
  <c r="AE28" i="2"/>
  <c r="O25" i="2"/>
  <c r="AE29" i="2"/>
  <c r="R25" i="2"/>
  <c r="AE30" i="2"/>
  <c r="U25" i="2"/>
  <c r="AE31" i="2"/>
  <c r="X25" i="2"/>
  <c r="AE32" i="2"/>
  <c r="AA25" i="2"/>
  <c r="AE33" i="2"/>
  <c r="AE37" i="2"/>
  <c r="AD29" i="2"/>
  <c r="AD30" i="2"/>
  <c r="AD33" i="2"/>
  <c r="AD27" i="2"/>
  <c r="AD31" i="2"/>
  <c r="AD26" i="2"/>
  <c r="AD28" i="2"/>
  <c r="AD32" i="2"/>
  <c r="AD34" i="2"/>
  <c r="AD37" i="2"/>
</calcChain>
</file>

<file path=xl/sharedStrings.xml><?xml version="1.0" encoding="utf-8"?>
<sst xmlns="http://schemas.openxmlformats.org/spreadsheetml/2006/main" count="160" uniqueCount="159">
  <si>
    <t>Je m’attache à ce qui est familier, la routine me convient et je désire vivre de façon harmonieuse dans un environnement stable</t>
  </si>
  <si>
    <t>Je passe de temps à fantasmer et à raviver des sentiments nostalgiques ayant trait à des moments du passé</t>
  </si>
  <si>
    <t>J’ai tendance à penser que si « un peu c’est bien, alors beaucoup c’est encore mieux » et du coup à être excessif dans certains domaines</t>
  </si>
  <si>
    <t>Je suis critique avec les autres lorsqu’ils sont imprécis, inefficaces, ou qu’ils ne suivent pas la direction attendue</t>
  </si>
  <si>
    <t>J’ai du respect pour le courage et la force ainsi que pour la capacité à utiliser son pouvoir lorsqu’il le faut</t>
  </si>
  <si>
    <t>Dans mes relations avec les autres j’ai souvent tendance à ne compter que sur moi et à passer pour quelqu’un qui est brusque ou qui à l’air d’avoir la tête dure, alors que j’ai simplement les pieds sur terre et l’esprit pratique</t>
  </si>
  <si>
    <t>Les gens se tournent vers moi pour que je les épaule parce qu’ils savent qu’en cas de coups durs on peut compter sur moi</t>
  </si>
  <si>
    <t>Il m’arrive de m’impliquer de façon excessive dans les problèmes des autres et d’avoir tendance à trop m’exposer sur le plan émotionnel</t>
  </si>
  <si>
    <t>Je tiens à vivre dans un environnement matériel confortable et je sais m’offrir de bonnes parties de shopping quand l’envie m’en prend</t>
  </si>
  <si>
    <t>J’ai souvent des sentiments contradictoires vis-à-vis des figures d’autorité, ce qui peut se traduire par une attitude ouvertement défensive ou par de l’insécurité</t>
  </si>
  <si>
    <t>Lorsque j’ai la conviction que j’ai raison, je tiens à le dire aux autres et à leur montrer comment accomplir leur tâche correctement</t>
  </si>
  <si>
    <t>je suis souvent félicité par mes supérieurs pour ma bonne organisation et mon respect des règles de l’organisation</t>
  </si>
  <si>
    <t>A</t>
  </si>
  <si>
    <t>B</t>
  </si>
  <si>
    <t>C</t>
  </si>
  <si>
    <t>D</t>
  </si>
  <si>
    <t>E</t>
  </si>
  <si>
    <t>F</t>
  </si>
  <si>
    <t>G</t>
  </si>
  <si>
    <t>H</t>
  </si>
  <si>
    <t>I</t>
  </si>
  <si>
    <t>Je me soucie peu de l’argent et j’ai tendance à en dépenser plus que je ne le devrais, pour me faire plaisir, souvent en achats impulsifs</t>
  </si>
  <si>
    <t>Je suis parfois soupçonneux quant aux motivations des autres ; je scrute l’environnement pour prévenir un éventuel danger</t>
  </si>
  <si>
    <t>Ma capacité à me centrer sur mon projet et à travailler moi-même, sans avoir besoin de directives extérieures, est l’un de mes atouts</t>
  </si>
  <si>
    <t>Profil</t>
  </si>
  <si>
    <t>1- Perfectionniste</t>
  </si>
  <si>
    <t>2- Aidant</t>
  </si>
  <si>
    <t>5- Penseur</t>
  </si>
  <si>
    <t>6- Loyaliste</t>
  </si>
  <si>
    <t>8- Leader</t>
  </si>
  <si>
    <t>9- Médiateur</t>
  </si>
  <si>
    <t>Je suis une personne indépendante qui tient particulièrement à sa vie privée et à avoir du temps pour elle</t>
  </si>
  <si>
    <t>Je me sens frustré par les règles qui n’ont pas lieu d’être, par les limitations et par le fait de risquer de passer à côté d’opportunités intéressantes</t>
  </si>
  <si>
    <t>3- Compétiteur</t>
  </si>
  <si>
    <t>4- Artiste</t>
  </si>
  <si>
    <t>7- Jouisseur</t>
  </si>
  <si>
    <t>Je suis une personne facile à vivre mais j’ai tendance à avoir peu d’énergie et à me mettre en difficulté en matière de temps et de délais car je reste longtemps indécis quand il s’agit de faire des choix.</t>
  </si>
  <si>
    <t>J’ai des buts bien précis et j’aime être reconnu quand je réussis brillamment</t>
  </si>
  <si>
    <t>Je passe un temps considérable à rechercher l’authenticité – « mon vrai Moi »- et à me comparer aux autres</t>
  </si>
  <si>
    <t>Mon souci des autres me donnent envie de les aider par tous les moyens dont je dispose</t>
  </si>
  <si>
    <t>Je préfère de beaucoup être aux commandes et avoir le contrôle qu’être contrôlé par une autre personne et dépendre d’elle</t>
  </si>
  <si>
    <t>Exceller dans ce que je fais et être reconnu pour mes succès est très important pour moi</t>
  </si>
  <si>
    <t>Les autres me voient comme quelqu’un d’organisé, de précis et peut-être même de rigide et un peu coincé</t>
  </si>
  <si>
    <t>Face à un conflit, j’aborde celui-ci sous tous les angles et j’accorde autant d’importance au pour qu’au contre</t>
  </si>
  <si>
    <t>Les gens qui me connaissent me disent parfois que je devrais prendre davantage soin de mes propres besoins plutôt que de me soucier autant des besoins et des sentiments des autres</t>
  </si>
  <si>
    <t>Lorsque je m’éloigne des autres et du monde extérieur pour approfondir mon univers intérieur, cette recherche finit toujours par me déprimer</t>
  </si>
  <si>
    <t>Je ne suis pas quelqu’un d’agressif et ma présence est au contraire sécurisante et apaisante pour les autres de par mon flegme et mon sens de la diplomatie</t>
  </si>
  <si>
    <t>J’éprouve un grand désir d’apporter de l’assistance aux autres et de tenir une place importante dans leur vie</t>
  </si>
  <si>
    <t>Je veux vraiment que l’on me considère comme un être à part, singulier et différent des autres</t>
  </si>
  <si>
    <t>Ma façon de travailler est très différente de celle de la plupart des gens, car je ne me laisse pas enfermer dans des comportements conventionnels. Je cherche à vivre les situations avec profondeur et authenticité et à leur donner de la classe</t>
  </si>
  <si>
    <t>Je suis un individualiste convaincu et j’attache beaucoup d’importance à ma capacité à contrôler l’environnement et à triompher de lui</t>
  </si>
  <si>
    <t>Je sais comment projeter le style d’image le plus approprié pour réussir et éviter l’échec</t>
  </si>
  <si>
    <t>Lorsque je veux quelque chose je me débrouille pour l’avoir. Je ne vois pas de raisons de manquer ou de passer à côté d’opportunités</t>
  </si>
  <si>
    <t>Les autres ont du mal à savoir ce que je pense et me trouvent distant parce que je ne sollicite ni leur opinion ni leur approbation</t>
  </si>
  <si>
    <t>J’aime repousser les limites et aller au devant de nouvelles aventures ; je n’aime pas perdre mon temps à ne rien faire</t>
  </si>
  <si>
    <t>J’aime apporter mon aide aux autres personnes en situation émotionnelle difficile et j’aime que les autres aient besoin de moi</t>
  </si>
  <si>
    <t>Je garde mes projets pour moi et je préfère que les autres ne sachent pas ce que je suis en train de faire</t>
  </si>
  <si>
    <t>J’ai le sentiment que quelque chose manque à ma vie car la plupart des gens me paraissent plus heureux et plus épanouis que je ne le suis</t>
  </si>
  <si>
    <t>Cela me plaît lorsque les gens dépendent vraiment de moi et reconnaissent ma générosité</t>
  </si>
  <si>
    <t>Les autres ne peuvent pas comprendre ce que je ressens vraiment et je me retrouve parfois seul du fait de ma personnalité particulière</t>
  </si>
  <si>
    <t>Je suis extrêmement loyal envers les gens et les groupes dont je fais part et j’espère qu’eux aussi le sont à mon égard</t>
  </si>
  <si>
    <t>Je suis un « dur à cuire » et un protecteur pour les plus faibles que moi</t>
  </si>
  <si>
    <t>Je suis plus méfiant que la plupart des gens et je sais mieux qu’eux sentir le danger et détecter les situations menaçantes</t>
  </si>
  <si>
    <t>J’ai du mal à me donner des priorités ou à me centrer sur des décisions précises parce que tous les points de vue me semblent intéressants</t>
  </si>
  <si>
    <t>Même si je suis déprimé ou sous pression, c’est très important pour moi de donner aux autres l’image d’une personne sûre d’elle</t>
  </si>
  <si>
    <t>Je prends mes responsabilités sociales au sérieux et je me sens la plupart du temps inquiet ou sur mes gardes</t>
  </si>
  <si>
    <t>Les autres me décrivent comme quelqu’un qui a les pieds sur terre, qui est brusque, solide et bagarreur</t>
  </si>
  <si>
    <t>Je me laisse parfois tellement absorber par mes émotions que je remets tout en question et que je me replie sur moi</t>
  </si>
  <si>
    <t>Je suis toujours actif et toujours partant, pris par des tâches et des activités multiples</t>
  </si>
  <si>
    <t>Je cloisonne mes relations (travail, famille, sport, hobbies…). La plupart des personnes que je rencontre dans ces domaines ne se connaissent pas entre elles</t>
  </si>
  <si>
    <t>Je pense et j’agis trop en fonction de mon cœur et pas assez en fonction de ma tête</t>
  </si>
  <si>
    <t>Je mes sens obligé d’aider les autres et je donne parfois trop sans être payé de retour</t>
  </si>
  <si>
    <t>Je sais dire non, je ne plie pas et l’autorité ne m’impressionne pas</t>
  </si>
  <si>
    <t>Je vais de l’avant, je ne me retourne pas et je me débrouille pour éviter tout ce qui pourrait être de source de souffrance</t>
  </si>
  <si>
    <t>Je suis une personne idéaliste et efficace, cherchant à améliorer ce qui est en mon pouvoir quand j’en ai l’occasion</t>
  </si>
  <si>
    <t>Je suis plus excité par l’idée de démarrer des projets que par celle de les mener à bien dans le long terme</t>
  </si>
  <si>
    <t>J’ai des opinions tranchées, basées sur l’intégrité et sur des principes qui guident mon jugement et ma moralité</t>
  </si>
  <si>
    <t>Je vis avec passion et intensité mes sentiments et mes goûts raffinés et hors du commun</t>
  </si>
  <si>
    <t>En société, je préfère apprendre des choses sur les autres plutôt que d’en révéler sur moi</t>
  </si>
  <si>
    <t>En général, j’évite d’être trop proche des gens et de m’impliquer avec eux sur le plan personnel</t>
  </si>
  <si>
    <t>Parce qu’il est extrêmement important pour moi d’atteindre le succès, je m’en donne les moyens et je suis prêt à payer le prix pour cela</t>
  </si>
  <si>
    <t>Je ne suis pas très porté sur les organisations – associations, amicales… etc – et je ne cherche pas, pour la plupart d’entre elles, à en faire partie</t>
  </si>
  <si>
    <t>Pour réussir dans la vie, je m’adapte aux autres et j’ajuste mes attitudes, de façon à trouver la meilleure manière d’obtenir d’eux les résultats que je vise</t>
  </si>
  <si>
    <t>J’ai besoin de stimulation, d’être entouré de nombreux amis et de sources d’excitation. Je ne veux pas passer à côté de toutes les expériences que j’ai à vivre et de tous les projets qui m’enthousiasment</t>
  </si>
  <si>
    <t>Je suis un médiateur efficace parce que j’ai une influence apaisante sur les autres</t>
  </si>
  <si>
    <t>Je suis sensible sur le plan émotionnel et je me sens attiré par l’aspect dramatique et significatif des crises qui jalonnent l’existence</t>
  </si>
  <si>
    <t>Je suis timide et je manque de courage pour me confronter à l’autorité, dans des situations ou bien d’autres semblent y arriver plus facilement que moi</t>
  </si>
  <si>
    <t>Je ne comprends pas pourquoi certaines personnes ont tant de mal à voir le bon côté des choses</t>
  </si>
  <si>
    <t>Je sais me motiver tout seul et je garde les yeux fixés sur mon objectif jusqu’à ce qu’il soit atteint.</t>
  </si>
  <si>
    <t>Je suis souvent absorbé dans mon univers intérieur, malheureux ou envieux de ce que les autres ont et qui me manque</t>
  </si>
  <si>
    <t>Lorsque quelqu’un me demande ce que je ressens, je ne suis pas à l’aise car je considère que mes sentiments ne regardent que moi</t>
  </si>
  <si>
    <t>Les autres m’irritent souvent par leur manque d’éthique et d’intégrité</t>
  </si>
  <si>
    <t>Quand il s’agit de réfléchir à des projets qui me semblent intéressants, je préfère le faire seul</t>
  </si>
  <si>
    <t>Je suis quelqu’un qui « en veut ». J’au le goût d’entreprendre et j’ai suis plus tourné vers la réussite que les autres</t>
  </si>
  <si>
    <t>Je me reproche souvent de ne pas avoir fait aussi bien que je l’aurais dû et j’ai tendance à faire la même critique aux autres</t>
  </si>
  <si>
    <t>Je me perçois comme quelqu’un d’affectueux, dépendant sur le plan émotionnel et parfois possessif avec ceux que j’aime</t>
  </si>
  <si>
    <t>J’ai du talent pour initier les projets et motiver les autres</t>
  </si>
  <si>
    <t>Parfois je me lance dans trop de choses à la fois et je me retrouve pris dans un tourbillon, une sorte de frénésie qui me rend anxieux</t>
  </si>
  <si>
    <t>Mes amis me perçoivent comme quelqu’un de tranquille et serein, plutôt que comme quelqu’un de confrontant ou d’incisif</t>
  </si>
  <si>
    <t>Ca m’est égal d’être excessif ou de faire entorse à certaines règles, si cela peut me permettre de vivre différentes situations excitantes</t>
  </si>
  <si>
    <t>Je suis capable d’utiliser la force pour parvenir à mes fins, surtout si on m’y contraint</t>
  </si>
  <si>
    <t>Je suis tourné vers les autres, nourricier et j’ai envie de me sentir proche d’eux</t>
  </si>
  <si>
    <t>Pour me sentir protégé et en sécurité, je veille à ce que les choses se passent bien pour le groupe auquel j’appartiens et j’y apporte toute ma contribution</t>
  </si>
  <si>
    <t>Je n’ai de cesse de m’améliorer et d’améliorer le monde qui m’entoure</t>
  </si>
  <si>
    <t>Certaines personnes me voient comme quelqu’un de distant, non impliqué et peu sociable</t>
  </si>
  <si>
    <t>Je me lance souvent dans de nouveaux projets ou de nouvelles aventures avant même que ceux qui sont en cours ne soient terminés</t>
  </si>
  <si>
    <t>Je suis un être unique et souvent incompris des autres</t>
  </si>
  <si>
    <t>Je préfère me tenir à l’écart et observer les autres plutôt que de me trouver pris dans des conversations superficielles ou dans leurs problèmes émotionnels</t>
  </si>
  <si>
    <t>Je veux tenir une place importante dans la  vie des autres. Savoir qu’ils ont besoin de moi est important pour mon bonheur</t>
  </si>
  <si>
    <t>La plupart du temps je fais ce qui est facile plutôt que ce qui est important</t>
  </si>
  <si>
    <t>Je suis une personne généreuse, qui prend soin des autres et qui se sacrifie pour eux</t>
  </si>
  <si>
    <t>J’appréhende souvent que quelque chose de grave ne m’arrive ou n’arrive à mes proches</t>
  </si>
  <si>
    <t>Si mon plan d’action ne marche pas, je change simplement de stratégie et je me donne les moyens de faire ce qu’il faut pour atteindre mon but par une autre voie</t>
  </si>
  <si>
    <t>J’ai tellement tendance à voir le côté positif des choses, que je peux parfois passer pour quelqu’un d’irresponsable et coupé de la réalité</t>
  </si>
  <si>
    <t>Je sens que j’ai une responsabilité morale à intervenir pour corriger les choses quand les gens font des erreurs</t>
  </si>
  <si>
    <t>J’ai une forte volonté et je n’hésite pas à faire usage de mon pouvoir pour obtenir ce que je veux ou pour protéger mes proches et mes amis</t>
  </si>
  <si>
    <t>Je sais ce qui est bien et j’aimerais que les autres travaillent aussi dur que moi pour parvenir à cet idéal</t>
  </si>
  <si>
    <t>Lorsque j’effectue un achat, je le fais à partir d’éléments bien réfléchis et sur une base rationnelle, plutôt que par impulsion</t>
  </si>
  <si>
    <t>Je me sens courroucé quand les choses ne sont pas faites de la meilleure façon qui soit</t>
  </si>
  <si>
    <t>Je suis compétitif, fort et direct. Je peux être très exigeant avec les autres si c‘est nécessaire</t>
  </si>
  <si>
    <t>C’est lorsque je fais ce qu’il faut pour que les relations avec les autres se passent en douceur que je me sens le mieux</t>
  </si>
  <si>
    <t>Je me sens différent des autres, étranger à la façon dont la plupart expriment leurs sentiments</t>
  </si>
  <si>
    <t>Quand j’ai des décisions importantes à prendre, je demande l’avis des autres, car ce genre de situations m’insécurise</t>
  </si>
  <si>
    <t>Je préfère abonder dans le sens des autres si cela peut permettre de créer un climat de bonne entente, dans lequel chacun peut se sentir calme et fonctionner de façon relax</t>
  </si>
  <si>
    <t>Note</t>
  </si>
  <si>
    <t>C’est important pour moi d’éprouver un sentiment d’union avec les autres et d’éviter les conflits</t>
  </si>
  <si>
    <t>Je sais comment les choses doivent être faites et je ne tolère pas l’imperfection, à commencer par ce qui me concerne</t>
  </si>
  <si>
    <t>Je consacre volontiers mon temps libre à aider les autres et je trouve gratifiant de sentir qu’ils ont besoin de moi</t>
  </si>
  <si>
    <t>Les notions de bien et de mal sont importantes pour moi. Les gens qui s’en fichent, qui sont négligés ou brouillons, me mettent en colère</t>
  </si>
  <si>
    <t>Je préfère garder mes pensées pour moi et résoudre les problèmes par ma seule réflexion</t>
  </si>
  <si>
    <t>Je suis prudent et je me sens anxieux lorsque je dois prendre d’importantes décisions sans le soutien des autres</t>
  </si>
  <si>
    <t>Je suis attentif à donner une image de gagnant pour ce qui est de ma carrière et de mon style de vie</t>
  </si>
  <si>
    <t>Je suis enclin à me plonger dans les fantasmes et les souvenirs, ce qui peut à l’occasion me faire passer pour quelqu’un qui s’apitoie sur son propre sort</t>
  </si>
  <si>
    <t>Je fonctionne de façon objective et je résous les problèmes sans en discuter avec les autres</t>
  </si>
  <si>
    <t>Je peux parfois être trop complaisant, donner aux autres l’impression de « planer » et de me laisser vivre</t>
  </si>
  <si>
    <t>Je sais prendre du bon temps avec les plupart des gens que je fréquente, car c’est une évidence pour moi qu’on a intérêt à profiter au maximum des situations qui se présentent</t>
  </si>
  <si>
    <t>Je suis ambitieux et je me pousse pour réaliser mes objectifs</t>
  </si>
  <si>
    <t>J’aime être toujours partant, avoir un calendrier bien rempli et il est exclu pour moi de ne pas profiter de la vie</t>
  </si>
  <si>
    <t>Je fais ce qu’il faut pour atteindre les objectifs fixés, quitte à mettre la pression sur les autres, si besoin</t>
  </si>
  <si>
    <t>Je tiens beaucoup à faire bonne impression. C’est important pour atteindre mes objectifs et obtenir la reconnaissance que je souhaite</t>
  </si>
  <si>
    <t>Je suis une personne sensible et je mobilise mon imagination et mes sentiments pour résoudre la plupart des problèmes</t>
  </si>
  <si>
    <t>J’ai confiance en ma force et en mon courage. Lorsque vient le moment de prendre position je ne fais pas de compromis</t>
  </si>
  <si>
    <t>Je suis prêt à faire tout mon possible pour éviter les discussions houleuses ou les conflits</t>
  </si>
  <si>
    <t>Je suis un négociateur coriace et comme je sais prendre le contrôle des situations, j’en sors généralement gagnant</t>
  </si>
  <si>
    <t>Je tiens tellement à vivre de façon tranquille et harmonieuse que j’ai parfois tendance à me voiler la face à propos de problèmes pourtant sérieux</t>
  </si>
  <si>
    <t>&lt;</t>
  </si>
  <si>
    <t>T
**</t>
  </si>
  <si>
    <t>Je fais tout pour être efficace, parfait et au-dessus de toute critique.</t>
  </si>
  <si>
    <t>Il y a toujours quelque chose qui me préoccupe ou m’inquiète</t>
  </si>
  <si>
    <t>Lorsque trop de choix s’offrent à moi, j’ai du mal à rester centré et à ne pas me disperser</t>
  </si>
  <si>
    <t>Je m’efforce sans cesse d’être quelqu’un de bon, fiable, efficace et de parole.</t>
  </si>
  <si>
    <t>Dans ma vie, aimer et être aimé comptent plus que pratiquement tout le reste</t>
  </si>
  <si>
    <t>Je passe pour quelqu’un de coriace et les autres y regardent à deux fois avant de me marcher sur les pieds</t>
  </si>
  <si>
    <t>Je sais garder mon calme en situation de conflit. Contrairement à d’autres, cela ne m’émeut pas</t>
  </si>
  <si>
    <t>J’attache de l’importance à la loyauté et aux avantages que procure l’appartenance à un groupe et ce de façon plus marquée que la plupart des gens</t>
  </si>
  <si>
    <t>J’ai tendance à me sacrifier pour les autres et je me sens bien lorsque je leur consacre mon temps et mon énergie</t>
  </si>
  <si>
    <t>J’aime que mes efforts soient payants et qu’ils m’apportent succès et reconnaissance</t>
  </si>
  <si>
    <t>3 = Toujours vrai  /  2 = Souvent vrai  /  1 = Parfois vrai  / 0 = Jamais vrai</t>
  </si>
  <si>
    <t>Remplissez les affirmations en indiquant les notes de 0 à 3 de la manière suivante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</si>
</sst>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2"/>
      <color theme="1"/>
      <name val="Calibri"/>
      <family val="2"/>
      <scheme val="minor"/>
    </font>
    <font>
      <b/>
      <sz val="12"/>
      <color theme="1"/>
      <name val="Calibri"/>
      <family val="2"/>
      <scheme val="minor"/>
    </font>
    <font>
      <b/>
      <sz val="10"/>
      <color indexed="10"/>
      <name val="Verdana"/>
    </font>
    <font>
      <sz val="10"/>
      <color indexed="10"/>
      <name val="Verdana"/>
    </font>
    <font>
      <u/>
      <sz val="12"/>
      <color theme="10"/>
      <name val="Calibri"/>
      <family val="2"/>
      <scheme val="minor"/>
    </font>
    <font>
      <u/>
      <sz val="12"/>
      <color theme="11"/>
      <name val="Calibri"/>
      <family val="2"/>
      <scheme val="minor"/>
    </font>
    <font>
      <sz val="10"/>
      <color indexed="8"/>
      <name val="Verdana"/>
    </font>
    <font>
      <sz val="8"/>
      <name val="Verdana"/>
    </font>
    <font>
      <b/>
      <u/>
      <sz val="11"/>
      <color rgb="FF002060"/>
      <name val="Verdana"/>
      <family val="2"/>
    </font>
    <font>
      <b/>
      <sz val="10"/>
      <color rgb="FFC00000"/>
      <name val="Verdana"/>
      <family val="2"/>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37FFF7"/>
        <bgColor indexed="64"/>
      </patternFill>
    </fill>
    <fill>
      <patternFill patternType="solid">
        <fgColor rgb="FFFF00FF"/>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diagonal/>
    </border>
  </borders>
  <cellStyleXfs count="4">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40">
    <xf numFmtId="0" fontId="0" fillId="0" borderId="0" xfId="0"/>
    <xf numFmtId="1" fontId="0" fillId="0" borderId="0" xfId="0" applyNumberFormat="1" applyAlignment="1">
      <alignment horizontal="center" vertical="top"/>
    </xf>
    <xf numFmtId="0" fontId="7" fillId="0" borderId="0" xfId="0" applyFont="1"/>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7" fillId="0" borderId="0" xfId="0" applyFont="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3" borderId="3" xfId="0" applyFill="1" applyBorder="1" applyAlignment="1">
      <alignment vertical="top" wrapText="1"/>
    </xf>
    <xf numFmtId="0" fontId="0" fillId="3" borderId="5" xfId="0" applyFill="1" applyBorder="1" applyAlignment="1">
      <alignment vertical="top" wrapText="1"/>
    </xf>
    <xf numFmtId="0" fontId="0" fillId="3" borderId="7" xfId="0" applyFill="1" applyBorder="1" applyAlignment="1">
      <alignment vertical="top" wrapText="1"/>
    </xf>
    <xf numFmtId="0" fontId="0" fillId="2" borderId="3"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0" borderId="1" xfId="0" applyBorder="1"/>
    <xf numFmtId="0" fontId="2" fillId="0" borderId="0" xfId="0" applyFont="1" applyAlignment="1">
      <alignment horizontal="center"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6" xfId="0" applyFont="1" applyBorder="1" applyAlignment="1">
      <alignment horizontal="center" vertical="top" wrapText="1"/>
    </xf>
    <xf numFmtId="0" fontId="2" fillId="3" borderId="2"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6"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0" borderId="0" xfId="0" applyFont="1"/>
    <xf numFmtId="0" fontId="0" fillId="0" borderId="1" xfId="0" applyBorder="1" applyAlignment="1">
      <alignment horizontal="left"/>
    </xf>
    <xf numFmtId="0" fontId="0" fillId="4" borderId="1" xfId="0" applyFill="1" applyBorder="1"/>
    <xf numFmtId="0" fontId="0" fillId="5" borderId="1" xfId="0" applyFill="1" applyBorder="1"/>
    <xf numFmtId="9" fontId="0" fillId="0" borderId="0" xfId="1" applyFont="1"/>
    <xf numFmtId="9" fontId="0" fillId="0" borderId="0" xfId="0" applyNumberFormat="1"/>
    <xf numFmtId="0" fontId="0" fillId="0" borderId="8" xfId="0" applyBorder="1"/>
    <xf numFmtId="0" fontId="2" fillId="4" borderId="1" xfId="0" applyFont="1" applyFill="1" applyBorder="1" applyAlignment="1" applyProtection="1">
      <alignment horizontal="center" vertical="top" wrapText="1"/>
      <protection locked="0"/>
    </xf>
    <xf numFmtId="0" fontId="2" fillId="0" borderId="0" xfId="0" applyFont="1" applyAlignment="1" applyProtection="1">
      <alignment horizontal="center" vertical="top" wrapText="1"/>
      <protection locked="0"/>
    </xf>
    <xf numFmtId="0" fontId="0" fillId="0" borderId="0" xfId="0" applyProtection="1">
      <protection locked="0"/>
    </xf>
    <xf numFmtId="0" fontId="0" fillId="0" borderId="0" xfId="0" applyAlignment="1" applyProtection="1">
      <alignment wrapText="1"/>
      <protection locked="0"/>
    </xf>
    <xf numFmtId="0" fontId="9" fillId="0" borderId="0" xfId="0" applyFont="1" applyAlignment="1">
      <alignment vertical="top" wrapText="1"/>
    </xf>
    <xf numFmtId="0" fontId="10" fillId="0" borderId="0" xfId="0" applyFont="1" applyAlignment="1">
      <alignment horizontal="center" vertical="top" wrapText="1"/>
    </xf>
  </cellXfs>
  <cellStyles count="4">
    <cellStyle name="Lien hypertexte" xfId="2" builtinId="8" hidden="1"/>
    <cellStyle name="Lien hypertexte visité" xfId="3" builtinId="9" hidden="1"/>
    <cellStyle name="Normal" xfId="0" builtinId="0"/>
    <cellStyle name="Pourcentage" xfId="1" builtinId="5"/>
  </cellStyles>
  <dxfs count="0"/>
  <tableStyles count="0" defaultTableStyle="TableStyleMedium9"/>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radarChart>
        <c:radarStyle val="marker"/>
        <c:varyColors val="0"/>
        <c:ser>
          <c:idx val="0"/>
          <c:order val="0"/>
          <c:cat>
            <c:strRef>
              <c:f>Résultat!$AC$26:$AC$34</c:f>
              <c:strCache>
                <c:ptCount val="9"/>
                <c:pt idx="0">
                  <c:v>9- Médiateur</c:v>
                </c:pt>
                <c:pt idx="1">
                  <c:v>1- Perfectionniste</c:v>
                </c:pt>
                <c:pt idx="2">
                  <c:v>2- Aidant</c:v>
                </c:pt>
                <c:pt idx="3">
                  <c:v>3- Compétiteur</c:v>
                </c:pt>
                <c:pt idx="4">
                  <c:v>4- Artiste</c:v>
                </c:pt>
                <c:pt idx="5">
                  <c:v>5- Penseur</c:v>
                </c:pt>
                <c:pt idx="6">
                  <c:v>6- Loyaliste</c:v>
                </c:pt>
                <c:pt idx="7">
                  <c:v>7- Jouisseur</c:v>
                </c:pt>
                <c:pt idx="8">
                  <c:v>8- Leader</c:v>
                </c:pt>
              </c:strCache>
            </c:strRef>
          </c:cat>
          <c:val>
            <c:numRef>
              <c:f>Résultat!$AD$26:$AD$34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13A9-6F4F-8593-7137C18FB585}"/>
            </c:ext>
          </c:extLst>
        </c:ser>
        <c:dLbls>
          <c:showLegendKey val="0"/>
          <c:showVal val="0"/>
          <c:showCatName val="0"/>
          <c:showSerName val="0"/>
          <c:showPercent val="0"/>
          <c:showBubbleSize val="0"/>
        </c:dLbls>
        <c:axId val="46390016"/>
        <c:axId val="46392760"/>
      </c:radarChart>
      <c:catAx>
        <c:axId val="46390016"/>
        <c:scaling>
          <c:orientation val="minMax"/>
        </c:scaling>
        <c:delete val="0"/>
        <c:axPos val="b"/>
        <c:majorGridlines/>
        <c:numFmt formatCode="General" sourceLinked="0"/>
        <c:majorTickMark val="out"/>
        <c:minorTickMark val="none"/>
        <c:tickLblPos val="nextTo"/>
        <c:crossAx val="46392760"/>
        <c:crosses val="autoZero"/>
        <c:auto val="1"/>
        <c:lblAlgn val="ctr"/>
        <c:lblOffset val="100"/>
        <c:noMultiLvlLbl val="0"/>
      </c:catAx>
      <c:valAx>
        <c:axId val="46392760"/>
        <c:scaling>
          <c:orientation val="minMax"/>
        </c:scaling>
        <c:delete val="0"/>
        <c:axPos val="l"/>
        <c:majorGridlines>
          <c:spPr>
            <a:ln>
              <a:gradFill flip="none" rotWithShape="1">
                <a:gsLst>
                  <a:gs pos="0">
                    <a:srgbClr val="FF0000"/>
                  </a:gs>
                  <a:gs pos="100000">
                    <a:srgbClr val="00FF00"/>
                  </a:gs>
                </a:gsLst>
                <a:path path="circle">
                  <a:fillToRect l="50000" t="50000" r="50000" b="50000"/>
                </a:path>
                <a:tileRect/>
              </a:gradFill>
            </a:ln>
          </c:spPr>
        </c:majorGridlines>
        <c:numFmt formatCode="0%" sourceLinked="1"/>
        <c:majorTickMark val="cross"/>
        <c:minorTickMark val="none"/>
        <c:tickLblPos val="nextTo"/>
        <c:crossAx val="46390016"/>
        <c:crosses val="autoZero"/>
        <c:crossBetween val="between"/>
      </c:valAx>
    </c:plotArea>
    <c:plotVisOnly val="1"/>
    <c:dispBlanksAs val="gap"/>
    <c:showDLblsOverMax val="0"/>
  </c:chart>
  <c:printSettings>
    <c:headerFooter/>
    <c:pageMargins b="1" l="0.75000000000000011" r="0.75000000000000011"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12701</xdr:colOff>
      <xdr:row>27</xdr:row>
      <xdr:rowOff>71969</xdr:rowOff>
    </xdr:from>
    <xdr:to>
      <xdr:col>26</xdr:col>
      <xdr:colOff>304801</xdr:colOff>
      <xdr:row>47</xdr:row>
      <xdr:rowOff>122768</xdr:rowOff>
    </xdr:to>
    <xdr:graphicFrame macro="">
      <xdr:nvGraphicFramePr>
        <xdr:cNvPr id="2" name="Graphique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5"/>
  <sheetViews>
    <sheetView tabSelected="1" zoomScale="87" zoomScaleNormal="87" workbookViewId="0">
      <selection activeCell="H13" sqref="H13"/>
    </sheetView>
  </sheetViews>
  <sheetFormatPr baseColWidth="10" defaultRowHeight="15.6" x14ac:dyDescent="0.3"/>
  <cols>
    <col min="1" max="1" width="3.5" customWidth="1"/>
    <col min="2" max="2" width="4.09765625" style="17" customWidth="1"/>
    <col min="3" max="3" width="89.3984375" style="5" customWidth="1"/>
    <col min="4" max="4" width="5.09765625" style="17" bestFit="1" customWidth="1"/>
    <col min="10" max="10" width="10.8984375" style="1"/>
  </cols>
  <sheetData>
    <row r="1" spans="1:4" x14ac:dyDescent="0.3">
      <c r="C1" s="3"/>
    </row>
    <row r="2" spans="1:4" x14ac:dyDescent="0.3">
      <c r="C2" s="4"/>
    </row>
    <row r="3" spans="1:4" x14ac:dyDescent="0.3">
      <c r="C3" s="38" t="s">
        <v>158</v>
      </c>
    </row>
    <row r="4" spans="1:4" x14ac:dyDescent="0.3">
      <c r="C4" s="4"/>
    </row>
    <row r="5" spans="1:4" x14ac:dyDescent="0.3">
      <c r="C5" s="39" t="s">
        <v>157</v>
      </c>
    </row>
    <row r="6" spans="1:4" ht="17.100000000000001" customHeight="1" x14ac:dyDescent="0.3">
      <c r="D6" s="17" t="s">
        <v>124</v>
      </c>
    </row>
    <row r="7" spans="1:4" ht="31.2" x14ac:dyDescent="0.3">
      <c r="A7" s="36"/>
      <c r="B7" s="18">
        <v>1</v>
      </c>
      <c r="C7" s="7" t="s">
        <v>152</v>
      </c>
      <c r="D7" s="34"/>
    </row>
    <row r="8" spans="1:4" x14ac:dyDescent="0.3">
      <c r="A8" s="36"/>
      <c r="B8" s="19">
        <v>2</v>
      </c>
      <c r="C8" s="8" t="s">
        <v>153</v>
      </c>
      <c r="D8" s="34"/>
    </row>
    <row r="9" spans="1:4" ht="31.2" x14ac:dyDescent="0.3">
      <c r="A9" s="36"/>
      <c r="B9" s="20">
        <v>3</v>
      </c>
      <c r="C9" s="9" t="s">
        <v>114</v>
      </c>
      <c r="D9" s="34"/>
    </row>
    <row r="10" spans="1:4" ht="6" customHeight="1" x14ac:dyDescent="0.3">
      <c r="A10" s="36"/>
      <c r="D10" s="35"/>
    </row>
    <row r="11" spans="1:4" ht="31.2" x14ac:dyDescent="0.3">
      <c r="A11" s="36"/>
      <c r="B11" s="21">
        <v>4</v>
      </c>
      <c r="C11" s="10" t="s">
        <v>155</v>
      </c>
      <c r="D11" s="34"/>
    </row>
    <row r="12" spans="1:4" x14ac:dyDescent="0.3">
      <c r="A12" s="36"/>
      <c r="B12" s="22">
        <v>5</v>
      </c>
      <c r="C12" s="11" t="s">
        <v>156</v>
      </c>
      <c r="D12" s="34"/>
    </row>
    <row r="13" spans="1:4" x14ac:dyDescent="0.3">
      <c r="A13" s="36"/>
      <c r="B13" s="23">
        <v>6</v>
      </c>
      <c r="C13" s="12" t="s">
        <v>121</v>
      </c>
      <c r="D13" s="34"/>
    </row>
    <row r="14" spans="1:4" ht="6" customHeight="1" x14ac:dyDescent="0.3">
      <c r="A14" s="36"/>
      <c r="D14" s="35"/>
    </row>
    <row r="15" spans="1:4" ht="31.2" x14ac:dyDescent="0.3">
      <c r="A15" s="36"/>
      <c r="B15" s="24">
        <v>7</v>
      </c>
      <c r="C15" s="13" t="s">
        <v>31</v>
      </c>
      <c r="D15" s="34"/>
    </row>
    <row r="16" spans="1:4" ht="31.2" x14ac:dyDescent="0.3">
      <c r="A16" s="36"/>
      <c r="B16" s="25">
        <v>8</v>
      </c>
      <c r="C16" s="14" t="s">
        <v>122</v>
      </c>
      <c r="D16" s="34"/>
    </row>
    <row r="17" spans="1:4" ht="31.2" x14ac:dyDescent="0.3">
      <c r="A17" s="36"/>
      <c r="B17" s="26">
        <v>9</v>
      </c>
      <c r="C17" s="15" t="s">
        <v>32</v>
      </c>
      <c r="D17" s="34"/>
    </row>
    <row r="18" spans="1:4" ht="6" customHeight="1" x14ac:dyDescent="0.3">
      <c r="A18" s="36"/>
      <c r="D18" s="35"/>
    </row>
    <row r="19" spans="1:4" x14ac:dyDescent="0.3">
      <c r="A19" s="36"/>
      <c r="B19" s="18">
        <v>10</v>
      </c>
      <c r="C19" s="7" t="s">
        <v>125</v>
      </c>
      <c r="D19" s="34"/>
    </row>
    <row r="20" spans="1:4" ht="31.2" x14ac:dyDescent="0.3">
      <c r="A20" s="36"/>
      <c r="B20" s="19">
        <v>11</v>
      </c>
      <c r="C20" s="8" t="s">
        <v>126</v>
      </c>
      <c r="D20" s="34"/>
    </row>
    <row r="21" spans="1:4" ht="31.2" x14ac:dyDescent="0.3">
      <c r="A21" s="36"/>
      <c r="B21" s="20">
        <v>12</v>
      </c>
      <c r="C21" s="9" t="s">
        <v>127</v>
      </c>
      <c r="D21" s="34"/>
    </row>
    <row r="22" spans="1:4" ht="6" customHeight="1" x14ac:dyDescent="0.3">
      <c r="A22" s="36"/>
      <c r="D22" s="35"/>
    </row>
    <row r="23" spans="1:4" x14ac:dyDescent="0.3">
      <c r="A23" s="36"/>
      <c r="B23" s="21">
        <v>13</v>
      </c>
      <c r="C23" s="10" t="s">
        <v>131</v>
      </c>
      <c r="D23" s="34"/>
    </row>
    <row r="24" spans="1:4" ht="31.2" x14ac:dyDescent="0.3">
      <c r="A24" s="36"/>
      <c r="B24" s="22">
        <v>14</v>
      </c>
      <c r="C24" s="11" t="s">
        <v>132</v>
      </c>
      <c r="D24" s="34"/>
    </row>
    <row r="25" spans="1:4" x14ac:dyDescent="0.3">
      <c r="A25" s="36"/>
      <c r="B25" s="23">
        <v>15</v>
      </c>
      <c r="C25" s="12" t="s">
        <v>133</v>
      </c>
      <c r="D25" s="34"/>
    </row>
    <row r="26" spans="1:4" ht="6" customHeight="1" x14ac:dyDescent="0.3">
      <c r="A26" s="36"/>
      <c r="D26" s="35"/>
    </row>
    <row r="27" spans="1:4" ht="31.2" x14ac:dyDescent="0.3">
      <c r="A27" s="36"/>
      <c r="B27" s="24">
        <v>16</v>
      </c>
      <c r="C27" s="13" t="s">
        <v>120</v>
      </c>
      <c r="D27" s="34"/>
    </row>
    <row r="28" spans="1:4" ht="31.2" x14ac:dyDescent="0.3">
      <c r="A28" s="36"/>
      <c r="B28" s="25">
        <v>17</v>
      </c>
      <c r="C28" s="14" t="s">
        <v>137</v>
      </c>
      <c r="D28" s="34"/>
    </row>
    <row r="29" spans="1:4" x14ac:dyDescent="0.3">
      <c r="A29" s="36"/>
      <c r="B29" s="26">
        <v>18</v>
      </c>
      <c r="C29" s="15" t="s">
        <v>138</v>
      </c>
      <c r="D29" s="34"/>
    </row>
    <row r="30" spans="1:4" ht="6" customHeight="1" x14ac:dyDescent="0.3">
      <c r="A30" s="36"/>
      <c r="D30" s="35"/>
    </row>
    <row r="31" spans="1:4" ht="31.2" x14ac:dyDescent="0.3">
      <c r="A31" s="36"/>
      <c r="B31" s="18">
        <v>19</v>
      </c>
      <c r="C31" s="7" t="s">
        <v>94</v>
      </c>
      <c r="D31" s="34"/>
    </row>
    <row r="32" spans="1:4" ht="31.2" x14ac:dyDescent="0.3">
      <c r="A32" s="36"/>
      <c r="B32" s="19">
        <v>20</v>
      </c>
      <c r="C32" s="8" t="s">
        <v>95</v>
      </c>
      <c r="D32" s="34"/>
    </row>
    <row r="33" spans="1:4" ht="31.2" x14ac:dyDescent="0.3">
      <c r="A33" s="36"/>
      <c r="B33" s="20">
        <v>21</v>
      </c>
      <c r="C33" s="9" t="s">
        <v>139</v>
      </c>
      <c r="D33" s="34"/>
    </row>
    <row r="34" spans="1:4" ht="6" customHeight="1" x14ac:dyDescent="0.3">
      <c r="A34" s="36"/>
      <c r="D34" s="35"/>
    </row>
    <row r="35" spans="1:4" ht="31.2" x14ac:dyDescent="0.3">
      <c r="A35" s="36"/>
      <c r="B35" s="21">
        <v>22</v>
      </c>
      <c r="C35" s="10" t="s">
        <v>140</v>
      </c>
      <c r="D35" s="34"/>
    </row>
    <row r="36" spans="1:4" x14ac:dyDescent="0.3">
      <c r="A36" s="36"/>
      <c r="B36" s="22">
        <v>23</v>
      </c>
      <c r="C36" s="11" t="s">
        <v>129</v>
      </c>
      <c r="D36" s="34"/>
    </row>
    <row r="37" spans="1:4" ht="31.2" x14ac:dyDescent="0.3">
      <c r="A37" s="36"/>
      <c r="B37" s="23">
        <v>24</v>
      </c>
      <c r="C37" s="12" t="s">
        <v>130</v>
      </c>
      <c r="D37" s="34"/>
    </row>
    <row r="38" spans="1:4" ht="6" customHeight="1" x14ac:dyDescent="0.3">
      <c r="A38" s="36"/>
      <c r="D38" s="35"/>
    </row>
    <row r="39" spans="1:4" ht="31.2" x14ac:dyDescent="0.3">
      <c r="A39" s="36" t="s">
        <v>145</v>
      </c>
      <c r="B39" s="24">
        <v>25</v>
      </c>
      <c r="C39" s="13" t="s">
        <v>99</v>
      </c>
      <c r="D39" s="34"/>
    </row>
    <row r="40" spans="1:4" ht="31.2" x14ac:dyDescent="0.3">
      <c r="A40" s="36"/>
      <c r="B40" s="25">
        <v>26</v>
      </c>
      <c r="C40" s="14" t="s">
        <v>141</v>
      </c>
      <c r="D40" s="34"/>
    </row>
    <row r="41" spans="1:4" x14ac:dyDescent="0.3">
      <c r="A41" s="36"/>
      <c r="B41" s="26">
        <v>27</v>
      </c>
      <c r="C41" s="15" t="s">
        <v>142</v>
      </c>
      <c r="D41" s="34"/>
    </row>
    <row r="42" spans="1:4" ht="6" customHeight="1" x14ac:dyDescent="0.3">
      <c r="A42" s="36"/>
      <c r="D42" s="35"/>
    </row>
    <row r="43" spans="1:4" ht="31.2" x14ac:dyDescent="0.3">
      <c r="A43" s="36"/>
      <c r="B43" s="18">
        <v>28</v>
      </c>
      <c r="C43" s="7" t="s">
        <v>143</v>
      </c>
      <c r="D43" s="34"/>
    </row>
    <row r="44" spans="1:4" x14ac:dyDescent="0.3">
      <c r="A44" s="36"/>
      <c r="B44" s="19">
        <v>29</v>
      </c>
      <c r="C44" s="8" t="s">
        <v>136</v>
      </c>
      <c r="D44" s="34"/>
    </row>
    <row r="45" spans="1:4" ht="31.2" x14ac:dyDescent="0.3">
      <c r="A45" s="37"/>
      <c r="B45" s="20">
        <v>30</v>
      </c>
      <c r="C45" s="9" t="s">
        <v>105</v>
      </c>
      <c r="D45" s="34"/>
    </row>
    <row r="46" spans="1:4" ht="6" customHeight="1" x14ac:dyDescent="0.3">
      <c r="A46" s="36"/>
      <c r="D46" s="35"/>
    </row>
    <row r="47" spans="1:4" x14ac:dyDescent="0.3">
      <c r="A47" s="36"/>
      <c r="B47" s="21">
        <v>31</v>
      </c>
      <c r="C47" s="10" t="s">
        <v>106</v>
      </c>
      <c r="D47" s="34"/>
    </row>
    <row r="48" spans="1:4" ht="31.2" x14ac:dyDescent="0.3">
      <c r="A48" s="37"/>
      <c r="B48" s="22">
        <v>32</v>
      </c>
      <c r="C48" s="11" t="s">
        <v>144</v>
      </c>
      <c r="D48" s="34"/>
    </row>
    <row r="49" spans="1:4" ht="31.2" x14ac:dyDescent="0.3">
      <c r="A49" s="36"/>
      <c r="B49" s="23">
        <v>33</v>
      </c>
      <c r="C49" s="12" t="s">
        <v>107</v>
      </c>
      <c r="D49" s="34"/>
    </row>
    <row r="50" spans="1:4" ht="6" customHeight="1" x14ac:dyDescent="0.3">
      <c r="A50" s="36"/>
      <c r="D50" s="35"/>
    </row>
    <row r="51" spans="1:4" ht="31.2" x14ac:dyDescent="0.3">
      <c r="A51" s="36"/>
      <c r="B51" s="24">
        <v>34</v>
      </c>
      <c r="C51" s="13" t="s">
        <v>108</v>
      </c>
      <c r="D51" s="34"/>
    </row>
    <row r="52" spans="1:4" x14ac:dyDescent="0.3">
      <c r="A52" s="36"/>
      <c r="B52" s="25">
        <v>35</v>
      </c>
      <c r="C52" s="14" t="s">
        <v>147</v>
      </c>
      <c r="D52" s="34"/>
    </row>
    <row r="53" spans="1:4" x14ac:dyDescent="0.3">
      <c r="A53" s="36"/>
      <c r="B53" s="26">
        <v>36</v>
      </c>
      <c r="C53" s="15" t="s">
        <v>148</v>
      </c>
      <c r="D53" s="34"/>
    </row>
    <row r="54" spans="1:4" ht="6" customHeight="1" x14ac:dyDescent="0.3">
      <c r="A54" s="36"/>
      <c r="C54" s="6"/>
      <c r="D54" s="35"/>
    </row>
    <row r="55" spans="1:4" x14ac:dyDescent="0.3">
      <c r="A55" s="36"/>
      <c r="B55" s="18">
        <v>37</v>
      </c>
      <c r="C55" s="7" t="s">
        <v>149</v>
      </c>
      <c r="D55" s="34"/>
    </row>
    <row r="56" spans="1:4" x14ac:dyDescent="0.3">
      <c r="A56" s="36"/>
      <c r="B56" s="19">
        <v>38</v>
      </c>
      <c r="C56" s="8" t="s">
        <v>77</v>
      </c>
      <c r="D56" s="34"/>
    </row>
    <row r="57" spans="1:4" x14ac:dyDescent="0.3">
      <c r="A57" s="36"/>
      <c r="B57" s="20">
        <v>39</v>
      </c>
      <c r="C57" s="9" t="s">
        <v>78</v>
      </c>
      <c r="D57" s="34"/>
    </row>
    <row r="58" spans="1:4" ht="6" customHeight="1" x14ac:dyDescent="0.3">
      <c r="A58" s="36"/>
      <c r="D58" s="35"/>
    </row>
    <row r="59" spans="1:4" x14ac:dyDescent="0.3">
      <c r="A59" s="36"/>
      <c r="B59" s="21">
        <v>40</v>
      </c>
      <c r="C59" s="10" t="s">
        <v>111</v>
      </c>
      <c r="D59" s="34"/>
    </row>
    <row r="60" spans="1:4" x14ac:dyDescent="0.3">
      <c r="A60" s="36"/>
      <c r="B60" s="22">
        <v>41</v>
      </c>
      <c r="C60" s="11" t="s">
        <v>150</v>
      </c>
      <c r="D60" s="34"/>
    </row>
    <row r="61" spans="1:4" x14ac:dyDescent="0.3">
      <c r="A61" s="36"/>
      <c r="B61" s="23">
        <v>42</v>
      </c>
      <c r="C61" s="12" t="s">
        <v>151</v>
      </c>
      <c r="D61" s="34"/>
    </row>
    <row r="62" spans="1:4" ht="6" customHeight="1" x14ac:dyDescent="0.3">
      <c r="A62" s="36"/>
      <c r="D62" s="35"/>
    </row>
    <row r="63" spans="1:4" ht="31.2" x14ac:dyDescent="0.3">
      <c r="A63" s="36"/>
      <c r="B63" s="24">
        <v>43</v>
      </c>
      <c r="C63" s="13" t="s">
        <v>112</v>
      </c>
      <c r="D63" s="34"/>
    </row>
    <row r="64" spans="1:4" ht="31.2" x14ac:dyDescent="0.3">
      <c r="A64" s="36"/>
      <c r="B64" s="25">
        <v>44</v>
      </c>
      <c r="C64" s="14" t="s">
        <v>113</v>
      </c>
      <c r="D64" s="34"/>
    </row>
    <row r="65" spans="1:4" ht="31.2" x14ac:dyDescent="0.3">
      <c r="A65" s="36"/>
      <c r="B65" s="26">
        <v>45</v>
      </c>
      <c r="C65" s="15" t="s">
        <v>115</v>
      </c>
      <c r="D65" s="34"/>
    </row>
    <row r="66" spans="1:4" ht="6" customHeight="1" x14ac:dyDescent="0.3">
      <c r="A66" s="36"/>
      <c r="D66" s="35"/>
    </row>
    <row r="67" spans="1:4" x14ac:dyDescent="0.3">
      <c r="A67" s="36"/>
      <c r="B67" s="18">
        <v>46</v>
      </c>
      <c r="C67" s="7" t="s">
        <v>116</v>
      </c>
      <c r="D67" s="34"/>
    </row>
    <row r="68" spans="1:4" x14ac:dyDescent="0.3">
      <c r="A68" s="36"/>
      <c r="B68" s="19">
        <v>47</v>
      </c>
      <c r="C68" s="8" t="s">
        <v>39</v>
      </c>
      <c r="D68" s="34"/>
    </row>
    <row r="69" spans="1:4" ht="31.2" x14ac:dyDescent="0.3">
      <c r="A69" s="36"/>
      <c r="B69" s="20">
        <v>48</v>
      </c>
      <c r="C69" s="9" t="s">
        <v>154</v>
      </c>
      <c r="D69" s="34"/>
    </row>
    <row r="70" spans="1:4" ht="6" customHeight="1" x14ac:dyDescent="0.3">
      <c r="A70" s="36"/>
      <c r="D70" s="35"/>
    </row>
    <row r="71" spans="1:4" x14ac:dyDescent="0.3">
      <c r="A71" s="36"/>
      <c r="B71" s="21">
        <v>49</v>
      </c>
      <c r="C71" s="10" t="s">
        <v>119</v>
      </c>
      <c r="D71" s="34"/>
    </row>
    <row r="72" spans="1:4" x14ac:dyDescent="0.3">
      <c r="A72" s="36"/>
      <c r="B72" s="22">
        <v>50</v>
      </c>
      <c r="C72" s="11" t="s">
        <v>87</v>
      </c>
      <c r="D72" s="34"/>
    </row>
    <row r="73" spans="1:4" x14ac:dyDescent="0.3">
      <c r="A73" s="36"/>
      <c r="B73" s="23">
        <v>51</v>
      </c>
      <c r="C73" s="12" t="s">
        <v>88</v>
      </c>
      <c r="D73" s="34"/>
    </row>
    <row r="74" spans="1:4" ht="6" customHeight="1" x14ac:dyDescent="0.3">
      <c r="A74" s="36"/>
      <c r="D74" s="35"/>
    </row>
    <row r="75" spans="1:4" ht="31.2" x14ac:dyDescent="0.3">
      <c r="A75" s="36"/>
      <c r="B75" s="24">
        <v>52</v>
      </c>
      <c r="C75" s="13" t="s">
        <v>89</v>
      </c>
      <c r="D75" s="34"/>
    </row>
    <row r="76" spans="1:4" ht="31.2" x14ac:dyDescent="0.3">
      <c r="A76" s="36"/>
      <c r="B76" s="25">
        <v>53</v>
      </c>
      <c r="C76" s="14" t="s">
        <v>90</v>
      </c>
      <c r="D76" s="34"/>
    </row>
    <row r="77" spans="1:4" ht="31.2" x14ac:dyDescent="0.3">
      <c r="A77" s="36"/>
      <c r="B77" s="26">
        <v>54</v>
      </c>
      <c r="C77" s="15" t="s">
        <v>123</v>
      </c>
      <c r="D77" s="34"/>
    </row>
    <row r="78" spans="1:4" ht="6" customHeight="1" x14ac:dyDescent="0.3">
      <c r="A78" s="36"/>
      <c r="C78" s="6"/>
      <c r="D78" s="35"/>
    </row>
    <row r="79" spans="1:4" x14ac:dyDescent="0.3">
      <c r="A79" s="36"/>
      <c r="B79" s="18">
        <v>55</v>
      </c>
      <c r="C79" s="7" t="s">
        <v>92</v>
      </c>
      <c r="D79" s="34"/>
    </row>
    <row r="80" spans="1:4" ht="31.2" x14ac:dyDescent="0.3">
      <c r="A80" s="36"/>
      <c r="B80" s="19">
        <v>56</v>
      </c>
      <c r="C80" s="8" t="s">
        <v>93</v>
      </c>
      <c r="D80" s="34"/>
    </row>
    <row r="81" spans="1:4" ht="31.2" x14ac:dyDescent="0.3">
      <c r="A81" s="36"/>
      <c r="B81" s="20">
        <v>57</v>
      </c>
      <c r="C81" s="9" t="s">
        <v>128</v>
      </c>
      <c r="D81" s="34"/>
    </row>
    <row r="82" spans="1:4" ht="0.9" customHeight="1" x14ac:dyDescent="0.3">
      <c r="A82" s="36"/>
      <c r="D82" s="35"/>
    </row>
    <row r="83" spans="1:4" ht="31.2" x14ac:dyDescent="0.3">
      <c r="A83" s="36"/>
      <c r="B83" s="21">
        <v>58</v>
      </c>
      <c r="C83" s="10" t="s">
        <v>59</v>
      </c>
      <c r="D83" s="34"/>
    </row>
    <row r="84" spans="1:4" ht="31.2" x14ac:dyDescent="0.3">
      <c r="A84" s="36"/>
      <c r="B84" s="22">
        <v>59</v>
      </c>
      <c r="C84" s="11" t="s">
        <v>60</v>
      </c>
      <c r="D84" s="34"/>
    </row>
    <row r="85" spans="1:4" x14ac:dyDescent="0.3">
      <c r="A85" s="36"/>
      <c r="B85" s="23">
        <v>60</v>
      </c>
      <c r="C85" s="12" t="s">
        <v>100</v>
      </c>
      <c r="D85" s="34"/>
    </row>
    <row r="86" spans="1:4" ht="3.9" customHeight="1" x14ac:dyDescent="0.3">
      <c r="A86" s="36"/>
      <c r="D86" s="35"/>
    </row>
    <row r="87" spans="1:4" x14ac:dyDescent="0.3">
      <c r="A87" s="36"/>
      <c r="B87" s="24">
        <v>61</v>
      </c>
      <c r="C87" s="13" t="s">
        <v>101</v>
      </c>
      <c r="D87" s="34"/>
    </row>
    <row r="88" spans="1:4" ht="31.2" x14ac:dyDescent="0.3">
      <c r="A88" s="36"/>
      <c r="B88" s="25">
        <v>62</v>
      </c>
      <c r="C88" s="14" t="s">
        <v>134</v>
      </c>
      <c r="D88" s="34"/>
    </row>
    <row r="89" spans="1:4" ht="31.2" x14ac:dyDescent="0.3">
      <c r="A89" s="36"/>
      <c r="B89" s="26">
        <v>63</v>
      </c>
      <c r="C89" s="15" t="s">
        <v>135</v>
      </c>
      <c r="D89" s="34"/>
    </row>
    <row r="90" spans="1:4" ht="6" customHeight="1" x14ac:dyDescent="0.3">
      <c r="A90" s="36"/>
      <c r="D90" s="35"/>
    </row>
    <row r="91" spans="1:4" x14ac:dyDescent="0.3">
      <c r="A91" s="36"/>
      <c r="B91" s="18">
        <v>64</v>
      </c>
      <c r="C91" s="7" t="s">
        <v>66</v>
      </c>
      <c r="D91" s="34"/>
    </row>
    <row r="92" spans="1:4" ht="31.2" x14ac:dyDescent="0.3">
      <c r="A92" s="36"/>
      <c r="B92" s="19">
        <v>65</v>
      </c>
      <c r="C92" s="8" t="s">
        <v>67</v>
      </c>
      <c r="D92" s="34"/>
    </row>
    <row r="93" spans="1:4" ht="31.2" x14ac:dyDescent="0.3">
      <c r="A93" s="36"/>
      <c r="B93" s="20">
        <v>66</v>
      </c>
      <c r="C93" s="9" t="s">
        <v>102</v>
      </c>
      <c r="D93" s="34"/>
    </row>
    <row r="94" spans="1:4" ht="6" customHeight="1" x14ac:dyDescent="0.3">
      <c r="A94" s="36"/>
      <c r="D94" s="35"/>
    </row>
    <row r="95" spans="1:4" ht="31.2" x14ac:dyDescent="0.3">
      <c r="A95" s="36"/>
      <c r="B95" s="21">
        <v>67</v>
      </c>
      <c r="C95" s="10" t="s">
        <v>73</v>
      </c>
      <c r="D95" s="34"/>
    </row>
    <row r="96" spans="1:4" x14ac:dyDescent="0.3">
      <c r="A96" s="36"/>
      <c r="B96" s="22">
        <v>68</v>
      </c>
      <c r="C96" s="11" t="s">
        <v>109</v>
      </c>
      <c r="D96" s="34"/>
    </row>
    <row r="97" spans="1:4" x14ac:dyDescent="0.3">
      <c r="A97" s="36"/>
      <c r="B97" s="23">
        <v>69</v>
      </c>
      <c r="C97" s="12" t="s">
        <v>110</v>
      </c>
      <c r="D97" s="34"/>
    </row>
    <row r="98" spans="1:4" ht="3" customHeight="1" x14ac:dyDescent="0.3">
      <c r="A98" s="36"/>
      <c r="D98" s="35"/>
    </row>
    <row r="99" spans="1:4" ht="31.2" x14ac:dyDescent="0.3">
      <c r="A99" s="36"/>
      <c r="B99" s="24">
        <v>70</v>
      </c>
      <c r="C99" s="13" t="s">
        <v>75</v>
      </c>
      <c r="D99" s="34"/>
    </row>
    <row r="100" spans="1:4" ht="31.2" x14ac:dyDescent="0.3">
      <c r="A100" s="36"/>
      <c r="B100" s="25">
        <v>71</v>
      </c>
      <c r="C100" s="14" t="s">
        <v>76</v>
      </c>
      <c r="D100" s="34"/>
    </row>
    <row r="101" spans="1:4" x14ac:dyDescent="0.3">
      <c r="A101" s="36"/>
      <c r="B101" s="26">
        <v>72</v>
      </c>
      <c r="C101" s="15" t="s">
        <v>79</v>
      </c>
      <c r="D101" s="34"/>
    </row>
    <row r="102" spans="1:4" ht="6" customHeight="1" x14ac:dyDescent="0.3">
      <c r="A102" s="36"/>
      <c r="C102" s="2"/>
      <c r="D102" s="35"/>
    </row>
    <row r="103" spans="1:4" ht="31.2" x14ac:dyDescent="0.3">
      <c r="A103" s="36"/>
      <c r="B103" s="18">
        <v>73</v>
      </c>
      <c r="C103" s="7" t="s">
        <v>44</v>
      </c>
      <c r="D103" s="34"/>
    </row>
    <row r="104" spans="1:4" ht="31.2" x14ac:dyDescent="0.3">
      <c r="A104" s="37"/>
      <c r="B104" s="19">
        <v>74</v>
      </c>
      <c r="C104" s="8" t="s">
        <v>83</v>
      </c>
      <c r="D104" s="34"/>
    </row>
    <row r="105" spans="1:4" x14ac:dyDescent="0.3">
      <c r="A105" s="36"/>
      <c r="B105" s="20">
        <v>75</v>
      </c>
      <c r="C105" s="9" t="s">
        <v>84</v>
      </c>
      <c r="D105" s="34"/>
    </row>
    <row r="106" spans="1:4" ht="6" customHeight="1" x14ac:dyDescent="0.3">
      <c r="A106" s="36"/>
      <c r="D106" s="35"/>
    </row>
    <row r="107" spans="1:4" ht="31.2" x14ac:dyDescent="0.3">
      <c r="A107" s="36"/>
      <c r="B107" s="21">
        <v>76</v>
      </c>
      <c r="C107" s="10" t="s">
        <v>117</v>
      </c>
      <c r="D107" s="34"/>
    </row>
    <row r="108" spans="1:4" x14ac:dyDescent="0.3">
      <c r="A108" s="36"/>
      <c r="B108" s="22">
        <v>77</v>
      </c>
      <c r="C108" s="11" t="s">
        <v>118</v>
      </c>
      <c r="D108" s="34"/>
    </row>
    <row r="109" spans="1:4" ht="31.2" x14ac:dyDescent="0.3">
      <c r="A109" s="36"/>
      <c r="B109" s="23">
        <v>78</v>
      </c>
      <c r="C109" s="12" t="s">
        <v>82</v>
      </c>
      <c r="D109" s="34"/>
    </row>
    <row r="110" spans="1:4" ht="3.9" customHeight="1" x14ac:dyDescent="0.3">
      <c r="A110" s="36"/>
      <c r="D110" s="35"/>
    </row>
    <row r="111" spans="1:4" ht="46.8" x14ac:dyDescent="0.3">
      <c r="A111" s="36"/>
      <c r="B111" s="24">
        <v>79</v>
      </c>
      <c r="C111" s="13" t="s">
        <v>49</v>
      </c>
      <c r="D111" s="34"/>
    </row>
    <row r="112" spans="1:4" ht="31.2" x14ac:dyDescent="0.3">
      <c r="A112" s="37"/>
      <c r="B112" s="25">
        <v>80</v>
      </c>
      <c r="C112" s="14" t="s">
        <v>50</v>
      </c>
      <c r="D112" s="34"/>
    </row>
    <row r="113" spans="1:4" ht="31.2" x14ac:dyDescent="0.3">
      <c r="A113" s="36"/>
      <c r="B113" s="26">
        <v>81</v>
      </c>
      <c r="C113" s="15" t="s">
        <v>86</v>
      </c>
      <c r="D113" s="34"/>
    </row>
    <row r="114" spans="1:4" ht="2.1" customHeight="1" x14ac:dyDescent="0.3">
      <c r="A114" s="36"/>
      <c r="D114" s="35"/>
    </row>
    <row r="115" spans="1:4" ht="18" customHeight="1" x14ac:dyDescent="0.3">
      <c r="A115" s="36"/>
      <c r="B115" s="18">
        <v>82</v>
      </c>
      <c r="C115" s="7" t="s">
        <v>91</v>
      </c>
      <c r="D115" s="34"/>
    </row>
    <row r="116" spans="1:4" ht="31.2" x14ac:dyDescent="0.3">
      <c r="A116" s="36"/>
      <c r="B116" s="19">
        <v>83</v>
      </c>
      <c r="C116" s="8" t="s">
        <v>57</v>
      </c>
      <c r="D116" s="34"/>
    </row>
    <row r="117" spans="1:4" ht="31.2" x14ac:dyDescent="0.3">
      <c r="A117" s="36"/>
      <c r="B117" s="20">
        <v>84</v>
      </c>
      <c r="C117" s="9" t="s">
        <v>21</v>
      </c>
      <c r="D117" s="34"/>
    </row>
    <row r="118" spans="1:4" ht="6" customHeight="1" x14ac:dyDescent="0.3">
      <c r="A118" s="36"/>
      <c r="D118" s="35"/>
    </row>
    <row r="119" spans="1:4" ht="18.899999999999999" customHeight="1" x14ac:dyDescent="0.3">
      <c r="A119" s="36"/>
      <c r="B119" s="21">
        <v>85</v>
      </c>
      <c r="C119" s="10" t="s">
        <v>58</v>
      </c>
      <c r="D119" s="34"/>
    </row>
    <row r="120" spans="1:4" ht="31.2" x14ac:dyDescent="0.3">
      <c r="A120" s="37"/>
      <c r="B120" s="22">
        <v>86</v>
      </c>
      <c r="C120" s="11" t="s">
        <v>23</v>
      </c>
      <c r="D120" s="34"/>
    </row>
    <row r="121" spans="1:4" x14ac:dyDescent="0.3">
      <c r="A121" s="36"/>
      <c r="B121" s="23">
        <v>87</v>
      </c>
      <c r="C121" s="12" t="s">
        <v>61</v>
      </c>
      <c r="D121" s="34"/>
    </row>
    <row r="122" spans="1:4" ht="6" customHeight="1" x14ac:dyDescent="0.3">
      <c r="A122" s="36"/>
      <c r="D122" s="35"/>
    </row>
    <row r="123" spans="1:4" x14ac:dyDescent="0.3">
      <c r="A123" s="36"/>
      <c r="B123" s="24">
        <v>88</v>
      </c>
      <c r="C123" s="13" t="s">
        <v>96</v>
      </c>
      <c r="D123" s="34"/>
    </row>
    <row r="124" spans="1:4" ht="31.2" x14ac:dyDescent="0.3">
      <c r="A124" s="36"/>
      <c r="B124" s="25">
        <v>89</v>
      </c>
      <c r="C124" s="14" t="s">
        <v>97</v>
      </c>
      <c r="D124" s="34"/>
    </row>
    <row r="125" spans="1:4" ht="31.2" x14ac:dyDescent="0.3">
      <c r="A125" s="36"/>
      <c r="B125" s="26">
        <v>90</v>
      </c>
      <c r="C125" s="15" t="s">
        <v>98</v>
      </c>
      <c r="D125" s="34"/>
    </row>
    <row r="126" spans="1:4" ht="15" customHeight="1" x14ac:dyDescent="0.3">
      <c r="A126" s="36"/>
      <c r="C126" s="2"/>
      <c r="D126" s="35"/>
    </row>
    <row r="127" spans="1:4" ht="31.2" x14ac:dyDescent="0.3">
      <c r="A127" s="36"/>
      <c r="B127" s="18">
        <v>91</v>
      </c>
      <c r="C127" s="7" t="s">
        <v>65</v>
      </c>
      <c r="D127" s="34"/>
    </row>
    <row r="128" spans="1:4" ht="31.2" x14ac:dyDescent="0.3">
      <c r="A128" s="37"/>
      <c r="B128" s="19">
        <v>92</v>
      </c>
      <c r="C128" s="8" t="s">
        <v>36</v>
      </c>
      <c r="D128" s="34"/>
    </row>
    <row r="129" spans="1:4" x14ac:dyDescent="0.3">
      <c r="A129" s="36"/>
      <c r="B129" s="20">
        <v>93</v>
      </c>
      <c r="C129" s="9" t="s">
        <v>37</v>
      </c>
      <c r="D129" s="34"/>
    </row>
    <row r="130" spans="1:4" ht="12" customHeight="1" x14ac:dyDescent="0.3">
      <c r="A130" s="36"/>
      <c r="D130" s="35"/>
    </row>
    <row r="131" spans="1:4" ht="31.2" x14ac:dyDescent="0.3">
      <c r="A131" s="37"/>
      <c r="B131" s="21">
        <v>94</v>
      </c>
      <c r="C131" s="10" t="s">
        <v>38</v>
      </c>
      <c r="D131" s="34"/>
    </row>
    <row r="132" spans="1:4" x14ac:dyDescent="0.3">
      <c r="A132" s="36"/>
      <c r="B132" s="22">
        <v>95</v>
      </c>
      <c r="C132" s="11" t="s">
        <v>68</v>
      </c>
      <c r="D132" s="34"/>
    </row>
    <row r="133" spans="1:4" x14ac:dyDescent="0.3">
      <c r="A133" s="36"/>
      <c r="B133" s="23">
        <v>96</v>
      </c>
      <c r="C133" s="12" t="s">
        <v>103</v>
      </c>
      <c r="D133" s="34"/>
    </row>
    <row r="134" spans="1:4" ht="3.9" customHeight="1" x14ac:dyDescent="0.3">
      <c r="A134" s="36"/>
      <c r="D134" s="35"/>
    </row>
    <row r="135" spans="1:4" ht="15.9" customHeight="1" x14ac:dyDescent="0.3">
      <c r="A135" s="36"/>
      <c r="B135" s="24">
        <v>97</v>
      </c>
      <c r="C135" s="13" t="s">
        <v>104</v>
      </c>
      <c r="D135" s="34"/>
    </row>
    <row r="136" spans="1:4" ht="15.9" customHeight="1" x14ac:dyDescent="0.3">
      <c r="A136" s="36"/>
      <c r="B136" s="25">
        <v>98</v>
      </c>
      <c r="C136" s="14" t="s">
        <v>72</v>
      </c>
      <c r="D136" s="34"/>
    </row>
    <row r="137" spans="1:4" ht="15.9" customHeight="1" x14ac:dyDescent="0.3">
      <c r="A137" s="36"/>
      <c r="B137" s="26">
        <v>99</v>
      </c>
      <c r="C137" s="15" t="s">
        <v>70</v>
      </c>
      <c r="D137" s="34"/>
    </row>
    <row r="138" spans="1:4" ht="9.9" customHeight="1" x14ac:dyDescent="0.3">
      <c r="A138" s="36"/>
      <c r="D138" s="35"/>
    </row>
    <row r="139" spans="1:4" ht="31.2" x14ac:dyDescent="0.3">
      <c r="A139" s="36"/>
      <c r="B139" s="18">
        <v>100</v>
      </c>
      <c r="C139" s="7" t="s">
        <v>74</v>
      </c>
      <c r="D139" s="34"/>
    </row>
    <row r="140" spans="1:4" ht="46.8" x14ac:dyDescent="0.3">
      <c r="A140" s="36"/>
      <c r="B140" s="19">
        <v>101</v>
      </c>
      <c r="C140" s="8" t="s">
        <v>5</v>
      </c>
      <c r="D140" s="34"/>
    </row>
    <row r="141" spans="1:4" ht="31.2" x14ac:dyDescent="0.3">
      <c r="A141" s="36"/>
      <c r="B141" s="20">
        <v>102</v>
      </c>
      <c r="C141" s="9" t="s">
        <v>43</v>
      </c>
      <c r="D141" s="34"/>
    </row>
    <row r="142" spans="1:4" ht="11.1" customHeight="1" x14ac:dyDescent="0.3">
      <c r="A142" s="36"/>
      <c r="D142" s="35"/>
    </row>
    <row r="143" spans="1:4" ht="31.2" x14ac:dyDescent="0.3">
      <c r="A143" s="36"/>
      <c r="B143" s="21">
        <v>103</v>
      </c>
      <c r="C143" s="10" t="s">
        <v>7</v>
      </c>
      <c r="D143" s="34"/>
    </row>
    <row r="144" spans="1:4" ht="31.2" x14ac:dyDescent="0.3">
      <c r="A144" s="36"/>
      <c r="B144" s="22">
        <v>104</v>
      </c>
      <c r="C144" s="11" t="s">
        <v>45</v>
      </c>
      <c r="D144" s="34"/>
    </row>
    <row r="145" spans="1:4" ht="31.2" x14ac:dyDescent="0.3">
      <c r="A145" s="36"/>
      <c r="B145" s="23">
        <v>105</v>
      </c>
      <c r="C145" s="12" t="s">
        <v>80</v>
      </c>
      <c r="D145" s="34"/>
    </row>
    <row r="146" spans="1:4" ht="9" customHeight="1" x14ac:dyDescent="0.3">
      <c r="A146" s="36"/>
      <c r="D146" s="35"/>
    </row>
    <row r="147" spans="1:4" ht="31.2" x14ac:dyDescent="0.3">
      <c r="A147" s="36"/>
      <c r="B147" s="24">
        <v>106</v>
      </c>
      <c r="C147" s="13" t="s">
        <v>81</v>
      </c>
      <c r="D147" s="34"/>
    </row>
    <row r="148" spans="1:4" ht="31.2" x14ac:dyDescent="0.3">
      <c r="A148" s="36"/>
      <c r="B148" s="25">
        <v>107</v>
      </c>
      <c r="C148" s="14" t="s">
        <v>8</v>
      </c>
      <c r="D148" s="34"/>
    </row>
    <row r="149" spans="1:4" ht="31.2" x14ac:dyDescent="0.3">
      <c r="A149" s="36"/>
      <c r="B149" s="26">
        <v>108</v>
      </c>
      <c r="C149" s="15" t="s">
        <v>9</v>
      </c>
      <c r="D149" s="34"/>
    </row>
    <row r="150" spans="1:4" ht="9.9" customHeight="1" x14ac:dyDescent="0.3">
      <c r="A150" s="36"/>
      <c r="C150" s="2"/>
      <c r="D150" s="35"/>
    </row>
    <row r="151" spans="1:4" ht="31.2" x14ac:dyDescent="0.3">
      <c r="A151" s="36"/>
      <c r="B151" s="18">
        <v>109</v>
      </c>
      <c r="C151" s="7" t="s">
        <v>10</v>
      </c>
      <c r="D151" s="34"/>
    </row>
    <row r="152" spans="1:4" ht="31.2" x14ac:dyDescent="0.3">
      <c r="A152" s="36"/>
      <c r="B152" s="19">
        <v>110</v>
      </c>
      <c r="C152" s="8" t="s">
        <v>85</v>
      </c>
      <c r="D152" s="34"/>
    </row>
    <row r="153" spans="1:4" ht="31.2" x14ac:dyDescent="0.3">
      <c r="A153" s="36"/>
      <c r="B153" s="20">
        <v>111</v>
      </c>
      <c r="C153" s="9" t="s">
        <v>52</v>
      </c>
      <c r="D153" s="34"/>
    </row>
    <row r="154" spans="1:4" ht="12.9" customHeight="1" x14ac:dyDescent="0.3">
      <c r="A154" s="36"/>
      <c r="D154" s="35"/>
    </row>
    <row r="155" spans="1:4" ht="31.2" x14ac:dyDescent="0.3">
      <c r="A155" s="36"/>
      <c r="B155" s="21">
        <v>112</v>
      </c>
      <c r="C155" s="10" t="s">
        <v>55</v>
      </c>
      <c r="D155" s="34"/>
    </row>
    <row r="156" spans="1:4" ht="20.100000000000001" customHeight="1" x14ac:dyDescent="0.3">
      <c r="A156" s="36"/>
      <c r="B156" s="22">
        <v>113</v>
      </c>
      <c r="C156" s="11" t="s">
        <v>56</v>
      </c>
      <c r="D156" s="34"/>
    </row>
    <row r="157" spans="1:4" ht="31.2" x14ac:dyDescent="0.3">
      <c r="A157" s="36"/>
      <c r="B157" s="23">
        <v>114</v>
      </c>
      <c r="C157" s="12" t="s">
        <v>40</v>
      </c>
      <c r="D157" s="34"/>
    </row>
    <row r="158" spans="1:4" ht="14.1" customHeight="1" x14ac:dyDescent="0.3">
      <c r="A158" s="36"/>
      <c r="D158" s="35"/>
    </row>
    <row r="159" spans="1:4" ht="21.9" customHeight="1" x14ac:dyDescent="0.3">
      <c r="A159" s="36"/>
      <c r="B159" s="24">
        <v>115</v>
      </c>
      <c r="C159" s="13" t="s">
        <v>41</v>
      </c>
      <c r="D159" s="34"/>
    </row>
    <row r="160" spans="1:4" ht="32.1" customHeight="1" x14ac:dyDescent="0.3">
      <c r="A160" s="36" t="s">
        <v>145</v>
      </c>
      <c r="B160" s="25">
        <v>116</v>
      </c>
      <c r="C160" s="14" t="s">
        <v>22</v>
      </c>
      <c r="D160" s="34"/>
    </row>
    <row r="161" spans="1:4" ht="31.2" x14ac:dyDescent="0.3">
      <c r="A161" s="37" t="s">
        <v>146</v>
      </c>
      <c r="B161" s="26">
        <v>117</v>
      </c>
      <c r="C161" s="15" t="s">
        <v>0</v>
      </c>
      <c r="D161" s="34"/>
    </row>
    <row r="162" spans="1:4" ht="15" customHeight="1" x14ac:dyDescent="0.3">
      <c r="A162" s="36"/>
      <c r="D162" s="35"/>
    </row>
    <row r="163" spans="1:4" ht="31.2" x14ac:dyDescent="0.3">
      <c r="A163" s="36"/>
      <c r="B163" s="18">
        <v>118</v>
      </c>
      <c r="C163" s="7" t="s">
        <v>62</v>
      </c>
      <c r="D163" s="34"/>
    </row>
    <row r="164" spans="1:4" ht="31.2" x14ac:dyDescent="0.3">
      <c r="A164" s="36"/>
      <c r="B164" s="19">
        <v>119</v>
      </c>
      <c r="C164" s="8" t="s">
        <v>63</v>
      </c>
      <c r="D164" s="34"/>
    </row>
    <row r="165" spans="1:4" ht="31.2" x14ac:dyDescent="0.3">
      <c r="A165" s="37"/>
      <c r="B165" s="20">
        <v>120</v>
      </c>
      <c r="C165" s="9" t="s">
        <v>64</v>
      </c>
      <c r="D165" s="34"/>
    </row>
    <row r="166" spans="1:4" ht="6" customHeight="1" x14ac:dyDescent="0.3">
      <c r="A166" s="36"/>
      <c r="D166" s="35"/>
    </row>
    <row r="167" spans="1:4" ht="31.2" x14ac:dyDescent="0.3">
      <c r="A167" s="36"/>
      <c r="B167" s="21">
        <v>121</v>
      </c>
      <c r="C167" s="10" t="s">
        <v>1</v>
      </c>
      <c r="D167" s="34"/>
    </row>
    <row r="168" spans="1:4" ht="31.2" x14ac:dyDescent="0.3">
      <c r="A168" s="36"/>
      <c r="B168" s="22">
        <v>122</v>
      </c>
      <c r="C168" s="11" t="s">
        <v>2</v>
      </c>
      <c r="D168" s="34"/>
    </row>
    <row r="169" spans="1:4" ht="31.2" x14ac:dyDescent="0.3">
      <c r="A169" s="36"/>
      <c r="B169" s="23">
        <v>123</v>
      </c>
      <c r="C169" s="12" t="s">
        <v>3</v>
      </c>
      <c r="D169" s="34"/>
    </row>
    <row r="170" spans="1:4" ht="6" customHeight="1" x14ac:dyDescent="0.3">
      <c r="A170" s="36"/>
      <c r="D170" s="35"/>
    </row>
    <row r="171" spans="1:4" ht="31.2" x14ac:dyDescent="0.3">
      <c r="A171" s="36"/>
      <c r="B171" s="24">
        <v>124</v>
      </c>
      <c r="C171" s="13" t="s">
        <v>69</v>
      </c>
      <c r="D171" s="34"/>
    </row>
    <row r="172" spans="1:4" ht="31.2" x14ac:dyDescent="0.3">
      <c r="A172" s="36"/>
      <c r="B172" s="25">
        <v>125</v>
      </c>
      <c r="C172" s="14" t="s">
        <v>4</v>
      </c>
      <c r="D172" s="34"/>
    </row>
    <row r="173" spans="1:4" x14ac:dyDescent="0.3">
      <c r="A173" s="36"/>
      <c r="B173" s="26">
        <v>126</v>
      </c>
      <c r="C173" s="15" t="s">
        <v>71</v>
      </c>
      <c r="D173" s="34"/>
    </row>
    <row r="174" spans="1:4" ht="6" customHeight="1" x14ac:dyDescent="0.3">
      <c r="A174" s="36"/>
      <c r="C174" s="2"/>
      <c r="D174" s="35"/>
    </row>
    <row r="175" spans="1:4" ht="31.2" x14ac:dyDescent="0.3">
      <c r="A175" s="36"/>
      <c r="B175" s="18">
        <v>127</v>
      </c>
      <c r="C175" s="7" t="s">
        <v>42</v>
      </c>
      <c r="D175" s="34"/>
    </row>
    <row r="176" spans="1:4" ht="31.2" x14ac:dyDescent="0.3">
      <c r="A176" s="36"/>
      <c r="B176" s="19">
        <v>128</v>
      </c>
      <c r="C176" s="8" t="s">
        <v>6</v>
      </c>
      <c r="D176" s="34"/>
    </row>
    <row r="177" spans="1:4" ht="31.2" x14ac:dyDescent="0.3">
      <c r="A177" s="36"/>
      <c r="B177" s="20">
        <v>129</v>
      </c>
      <c r="C177" s="9" t="s">
        <v>46</v>
      </c>
      <c r="D177" s="34"/>
    </row>
    <row r="178" spans="1:4" ht="6" customHeight="1" x14ac:dyDescent="0.3">
      <c r="A178" s="36"/>
      <c r="D178" s="35"/>
    </row>
    <row r="179" spans="1:4" ht="31.2" x14ac:dyDescent="0.3">
      <c r="A179" s="37"/>
      <c r="B179" s="21">
        <v>130</v>
      </c>
      <c r="C179" s="10" t="s">
        <v>47</v>
      </c>
      <c r="D179" s="34"/>
    </row>
    <row r="180" spans="1:4" x14ac:dyDescent="0.3">
      <c r="A180" s="36"/>
      <c r="B180" s="22">
        <v>131</v>
      </c>
      <c r="C180" s="11" t="s">
        <v>48</v>
      </c>
      <c r="D180" s="34"/>
    </row>
    <row r="181" spans="1:4" x14ac:dyDescent="0.3">
      <c r="A181" s="36"/>
      <c r="B181" s="23">
        <v>132</v>
      </c>
      <c r="C181" s="12" t="s">
        <v>51</v>
      </c>
      <c r="D181" s="34"/>
    </row>
    <row r="182" spans="1:4" ht="6" customHeight="1" x14ac:dyDescent="0.3">
      <c r="A182" s="36"/>
      <c r="D182" s="35"/>
    </row>
    <row r="183" spans="1:4" ht="31.2" x14ac:dyDescent="0.3">
      <c r="A183" s="36"/>
      <c r="B183" s="24">
        <v>133</v>
      </c>
      <c r="C183" s="13" t="s">
        <v>53</v>
      </c>
      <c r="D183" s="34"/>
    </row>
    <row r="184" spans="1:4" ht="31.2" x14ac:dyDescent="0.3">
      <c r="A184" s="36"/>
      <c r="B184" s="25">
        <v>134</v>
      </c>
      <c r="C184" s="14" t="s">
        <v>54</v>
      </c>
      <c r="D184" s="34"/>
    </row>
    <row r="185" spans="1:4" ht="31.2" x14ac:dyDescent="0.3">
      <c r="A185" s="36"/>
      <c r="B185" s="26">
        <v>135</v>
      </c>
      <c r="C185" s="15" t="s">
        <v>11</v>
      </c>
      <c r="D185" s="34"/>
    </row>
  </sheetData>
  <phoneticPr fontId="8" type="noConversion"/>
  <pageMargins left="0.35433070866141736" right="0.15748031496062992" top="0.39370078740157483" bottom="0.19685039370078741" header="0.51181102362204722" footer="0.5118110236220472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F37"/>
  <sheetViews>
    <sheetView topLeftCell="C1" zoomScale="150" zoomScaleNormal="50" zoomScalePageLayoutView="50" workbookViewId="0">
      <selection activeCell="U12" sqref="U12"/>
    </sheetView>
  </sheetViews>
  <sheetFormatPr baseColWidth="10" defaultRowHeight="15.6" x14ac:dyDescent="0.3"/>
  <cols>
    <col min="1" max="1" width="5.59765625" customWidth="1"/>
    <col min="2" max="3" width="4.59765625" customWidth="1"/>
    <col min="4" max="4" width="1" customWidth="1"/>
    <col min="5" max="6" width="4.59765625" customWidth="1"/>
    <col min="7" max="7" width="1" customWidth="1"/>
    <col min="8" max="9" width="4.59765625" customWidth="1"/>
    <col min="10" max="10" width="1" customWidth="1"/>
    <col min="11" max="12" width="4.59765625" customWidth="1"/>
    <col min="13" max="13" width="1" customWidth="1"/>
    <col min="14" max="15" width="4.59765625" customWidth="1"/>
    <col min="16" max="16" width="1" customWidth="1"/>
    <col min="17" max="18" width="4.59765625" customWidth="1"/>
    <col min="19" max="19" width="1" customWidth="1"/>
    <col min="20" max="21" width="4.59765625" customWidth="1"/>
    <col min="22" max="22" width="1" customWidth="1"/>
    <col min="23" max="24" width="4.59765625" customWidth="1"/>
    <col min="25" max="25" width="1" customWidth="1"/>
    <col min="26" max="27" width="4.59765625" customWidth="1"/>
    <col min="28" max="28" width="3.3984375" customWidth="1"/>
    <col min="29" max="29" width="15.59765625" bestFit="1" customWidth="1"/>
    <col min="30" max="30" width="4.59765625" bestFit="1" customWidth="1"/>
    <col min="31" max="31" width="4.09765625" bestFit="1" customWidth="1"/>
  </cols>
  <sheetData>
    <row r="2" spans="2:27" ht="21.9" customHeight="1" x14ac:dyDescent="0.3">
      <c r="B2" s="16"/>
      <c r="C2" s="16" t="s">
        <v>12</v>
      </c>
      <c r="E2" s="16"/>
      <c r="F2" s="16" t="s">
        <v>13</v>
      </c>
      <c r="H2" s="16"/>
      <c r="I2" s="16" t="s">
        <v>14</v>
      </c>
      <c r="K2" s="16"/>
      <c r="L2" s="16" t="s">
        <v>15</v>
      </c>
      <c r="N2" s="16"/>
      <c r="O2" s="16" t="s">
        <v>16</v>
      </c>
      <c r="Q2" s="28"/>
      <c r="R2" s="16" t="s">
        <v>17</v>
      </c>
      <c r="T2" s="16"/>
      <c r="U2" s="16" t="s">
        <v>18</v>
      </c>
      <c r="W2" s="16"/>
      <c r="X2" s="16" t="s">
        <v>19</v>
      </c>
      <c r="Z2" s="16"/>
      <c r="AA2" s="16" t="s">
        <v>20</v>
      </c>
    </row>
    <row r="3" spans="2:27" ht="21.9" customHeight="1" x14ac:dyDescent="0.3"/>
    <row r="4" spans="2:27" x14ac:dyDescent="0.3">
      <c r="B4" s="16">
        <v>1</v>
      </c>
      <c r="C4" s="29">
        <f>Questionnaire!D7</f>
        <v>0</v>
      </c>
      <c r="E4" s="16">
        <v>2</v>
      </c>
      <c r="F4" s="29">
        <f>Questionnaire!D8</f>
        <v>0</v>
      </c>
      <c r="H4" s="16">
        <v>3</v>
      </c>
      <c r="I4" s="29">
        <f>Questionnaire!D9</f>
        <v>0</v>
      </c>
      <c r="K4" s="16">
        <v>4</v>
      </c>
      <c r="L4" s="29">
        <f>Questionnaire!D11</f>
        <v>0</v>
      </c>
      <c r="N4" s="16">
        <v>5</v>
      </c>
      <c r="O4" s="29">
        <f>Questionnaire!D12</f>
        <v>0</v>
      </c>
      <c r="Q4" s="16">
        <v>6</v>
      </c>
      <c r="R4" s="29">
        <f>Questionnaire!D13</f>
        <v>0</v>
      </c>
      <c r="T4" s="16">
        <v>7</v>
      </c>
      <c r="U4" s="29">
        <f>Questionnaire!D15</f>
        <v>0</v>
      </c>
      <c r="W4" s="16">
        <v>8</v>
      </c>
      <c r="X4" s="29">
        <f>Questionnaire!D16</f>
        <v>0</v>
      </c>
      <c r="Z4" s="16">
        <v>9</v>
      </c>
      <c r="AA4" s="29">
        <f>Questionnaire!D17</f>
        <v>0</v>
      </c>
    </row>
    <row r="5" spans="2:27" x14ac:dyDescent="0.3">
      <c r="B5" s="16">
        <v>18</v>
      </c>
      <c r="C5" s="29">
        <f>Questionnaire!D29</f>
        <v>0</v>
      </c>
      <c r="E5" s="16">
        <v>10</v>
      </c>
      <c r="F5" s="29">
        <f>Questionnaire!D19</f>
        <v>0</v>
      </c>
      <c r="H5" s="16">
        <v>11</v>
      </c>
      <c r="I5" s="29">
        <f>Questionnaire!D20</f>
        <v>0</v>
      </c>
      <c r="K5" s="16">
        <v>12</v>
      </c>
      <c r="L5" s="29">
        <f>Questionnaire!D21</f>
        <v>0</v>
      </c>
      <c r="N5" s="16">
        <v>13</v>
      </c>
      <c r="O5" s="29">
        <f>Questionnaire!D23</f>
        <v>0</v>
      </c>
      <c r="Q5" s="16">
        <v>14</v>
      </c>
      <c r="R5" s="29">
        <f>Questionnaire!D24</f>
        <v>0</v>
      </c>
      <c r="T5" s="16">
        <v>15</v>
      </c>
      <c r="U5" s="29">
        <f>Questionnaire!D25</f>
        <v>0</v>
      </c>
      <c r="W5" s="16">
        <v>16</v>
      </c>
      <c r="X5" s="29">
        <f>Questionnaire!D27</f>
        <v>0</v>
      </c>
      <c r="Z5" s="16">
        <v>17</v>
      </c>
      <c r="AA5" s="29">
        <f>Questionnaire!D28</f>
        <v>0</v>
      </c>
    </row>
    <row r="6" spans="2:27" x14ac:dyDescent="0.3">
      <c r="B6" s="16">
        <v>26</v>
      </c>
      <c r="C6" s="29">
        <f>Questionnaire!D40</f>
        <v>0</v>
      </c>
      <c r="E6" s="16">
        <v>27</v>
      </c>
      <c r="F6" s="29">
        <f>Questionnaire!D41</f>
        <v>0</v>
      </c>
      <c r="H6" s="16">
        <v>19</v>
      </c>
      <c r="I6" s="29">
        <f>Questionnaire!D31</f>
        <v>0</v>
      </c>
      <c r="K6" s="16">
        <v>20</v>
      </c>
      <c r="L6" s="29">
        <f>Questionnaire!D32</f>
        <v>0</v>
      </c>
      <c r="N6" s="16">
        <v>21</v>
      </c>
      <c r="O6" s="29">
        <f>Questionnaire!D33</f>
        <v>0</v>
      </c>
      <c r="Q6" s="16">
        <v>22</v>
      </c>
      <c r="R6" s="29">
        <f>Questionnaire!D35</f>
        <v>0</v>
      </c>
      <c r="T6" s="16">
        <v>23</v>
      </c>
      <c r="U6" s="29">
        <f>Questionnaire!D36</f>
        <v>0</v>
      </c>
      <c r="W6" s="16">
        <v>24</v>
      </c>
      <c r="X6" s="29">
        <f>Questionnaire!D37</f>
        <v>0</v>
      </c>
      <c r="Z6" s="16">
        <v>25</v>
      </c>
      <c r="AA6" s="29">
        <f>Questionnaire!D39</f>
        <v>0</v>
      </c>
    </row>
    <row r="7" spans="2:27" ht="6" customHeight="1" x14ac:dyDescent="0.3"/>
    <row r="8" spans="2:27" x14ac:dyDescent="0.3">
      <c r="B8" s="16">
        <v>28</v>
      </c>
      <c r="C8" s="29">
        <f>Questionnaire!D43</f>
        <v>0</v>
      </c>
      <c r="E8" s="16">
        <v>32</v>
      </c>
      <c r="F8" s="29">
        <f>Questionnaire!D48</f>
        <v>0</v>
      </c>
      <c r="H8" s="16">
        <v>35</v>
      </c>
      <c r="I8" s="29">
        <f>Questionnaire!D52</f>
        <v>0</v>
      </c>
      <c r="K8" s="16">
        <v>34</v>
      </c>
      <c r="L8" s="29">
        <f>Questionnaire!D51</f>
        <v>0</v>
      </c>
      <c r="N8" s="16">
        <v>29</v>
      </c>
      <c r="O8" s="29">
        <f>Questionnaire!D44</f>
        <v>0</v>
      </c>
      <c r="Q8" s="16">
        <v>31</v>
      </c>
      <c r="R8" s="29">
        <f>Questionnaire!D47</f>
        <v>0</v>
      </c>
      <c r="T8" s="16">
        <v>33</v>
      </c>
      <c r="U8" s="29">
        <f>Questionnaire!D49</f>
        <v>0</v>
      </c>
      <c r="W8" s="16">
        <v>36</v>
      </c>
      <c r="X8" s="29">
        <f>Questionnaire!D53</f>
        <v>0</v>
      </c>
      <c r="Z8" s="16">
        <v>30</v>
      </c>
      <c r="AA8" s="29">
        <f>Questionnaire!D45</f>
        <v>0</v>
      </c>
    </row>
    <row r="9" spans="2:27" x14ac:dyDescent="0.3">
      <c r="B9" s="16">
        <v>45</v>
      </c>
      <c r="C9" s="29">
        <f>Questionnaire!D65</f>
        <v>0</v>
      </c>
      <c r="E9" s="16">
        <v>37</v>
      </c>
      <c r="F9" s="29">
        <f>Questionnaire!D55</f>
        <v>0</v>
      </c>
      <c r="H9" s="16">
        <v>41</v>
      </c>
      <c r="I9" s="29">
        <f>Questionnaire!D60</f>
        <v>0</v>
      </c>
      <c r="K9" s="16">
        <v>42</v>
      </c>
      <c r="L9" s="29">
        <f>Questionnaire!D61</f>
        <v>0</v>
      </c>
      <c r="N9" s="16">
        <v>43</v>
      </c>
      <c r="O9" s="29">
        <f>Questionnaire!D63</f>
        <v>0</v>
      </c>
      <c r="Q9" s="16">
        <v>38</v>
      </c>
      <c r="R9" s="29">
        <f>Questionnaire!D56</f>
        <v>0</v>
      </c>
      <c r="T9" s="16">
        <v>39</v>
      </c>
      <c r="U9" s="29">
        <f>Questionnaire!D57</f>
        <v>0</v>
      </c>
      <c r="W9" s="16">
        <v>40</v>
      </c>
      <c r="X9" s="29">
        <f>Questionnaire!D59</f>
        <v>0</v>
      </c>
      <c r="Y9" s="33">
        <v>0</v>
      </c>
      <c r="Z9" s="16">
        <v>44</v>
      </c>
      <c r="AA9" s="29">
        <f>Questionnaire!D64</f>
        <v>0</v>
      </c>
    </row>
    <row r="10" spans="2:27" x14ac:dyDescent="0.3">
      <c r="B10" s="16">
        <v>49</v>
      </c>
      <c r="C10" s="29">
        <f>Questionnaire!D71</f>
        <v>0</v>
      </c>
      <c r="E10" s="16">
        <v>54</v>
      </c>
      <c r="F10" s="29">
        <f>Questionnaire!D77</f>
        <v>0</v>
      </c>
      <c r="H10" s="16">
        <v>46</v>
      </c>
      <c r="I10" s="29">
        <f>Questionnaire!D67</f>
        <v>0</v>
      </c>
      <c r="K10" s="16">
        <v>47</v>
      </c>
      <c r="L10" s="29">
        <f>Questionnaire!D68</f>
        <v>0</v>
      </c>
      <c r="N10" s="16">
        <v>51</v>
      </c>
      <c r="O10" s="29">
        <f>Questionnaire!D73</f>
        <v>0</v>
      </c>
      <c r="Q10" s="16">
        <v>52</v>
      </c>
      <c r="R10" s="29">
        <f>Questionnaire!D75</f>
        <v>0</v>
      </c>
      <c r="T10" s="16">
        <v>53</v>
      </c>
      <c r="U10" s="29">
        <f>Questionnaire!D76</f>
        <v>0</v>
      </c>
      <c r="W10" s="16">
        <v>48</v>
      </c>
      <c r="X10" s="29">
        <f>Questionnaire!D69</f>
        <v>0</v>
      </c>
      <c r="Z10" s="16">
        <v>50</v>
      </c>
      <c r="AA10" s="29">
        <f>Questionnaire!D72</f>
        <v>0</v>
      </c>
    </row>
    <row r="11" spans="2:27" ht="6" customHeight="1" x14ac:dyDescent="0.3"/>
    <row r="12" spans="2:27" x14ac:dyDescent="0.3">
      <c r="B12" s="16">
        <v>60</v>
      </c>
      <c r="C12" s="29">
        <f>Questionnaire!D85</f>
        <v>0</v>
      </c>
      <c r="E12" s="16">
        <v>62</v>
      </c>
      <c r="F12" s="29">
        <f>Questionnaire!D88</f>
        <v>0</v>
      </c>
      <c r="H12" s="16">
        <v>57</v>
      </c>
      <c r="I12" s="29">
        <f>Questionnaire!D81</f>
        <v>0</v>
      </c>
      <c r="K12" s="16">
        <v>61</v>
      </c>
      <c r="L12" s="29">
        <f>Questionnaire!D87</f>
        <v>0</v>
      </c>
      <c r="N12" s="16">
        <v>56</v>
      </c>
      <c r="O12" s="29">
        <f>Questionnaire!D80</f>
        <v>0</v>
      </c>
      <c r="Q12" s="16">
        <v>58</v>
      </c>
      <c r="R12" s="29">
        <f>Questionnaire!D83</f>
        <v>0</v>
      </c>
      <c r="T12" s="16">
        <v>55</v>
      </c>
      <c r="U12" s="29">
        <f>Questionnaire!D79</f>
        <v>0</v>
      </c>
      <c r="W12" s="16">
        <v>59</v>
      </c>
      <c r="X12" s="29">
        <f>Questionnaire!D84</f>
        <v>0</v>
      </c>
      <c r="Z12" s="16">
        <v>63</v>
      </c>
      <c r="AA12" s="29">
        <f>Questionnaire!D89</f>
        <v>0</v>
      </c>
    </row>
    <row r="13" spans="2:27" x14ac:dyDescent="0.3">
      <c r="B13" s="16">
        <v>64</v>
      </c>
      <c r="C13" s="29">
        <f>Questionnaire!D91</f>
        <v>0</v>
      </c>
      <c r="E13" s="16">
        <v>68</v>
      </c>
      <c r="F13" s="29">
        <f>Questionnaire!D96</f>
        <v>0</v>
      </c>
      <c r="H13" s="16">
        <v>71</v>
      </c>
      <c r="I13" s="29">
        <f>Questionnaire!D100</f>
        <v>0</v>
      </c>
      <c r="K13" s="16">
        <v>69</v>
      </c>
      <c r="L13" s="29">
        <f>Questionnaire!D97</f>
        <v>0</v>
      </c>
      <c r="N13" s="16">
        <v>70</v>
      </c>
      <c r="O13" s="29">
        <f>Questionnaire!D99</f>
        <v>0</v>
      </c>
      <c r="Q13" s="16">
        <v>65</v>
      </c>
      <c r="R13" s="29">
        <f>Questionnaire!D92</f>
        <v>0</v>
      </c>
      <c r="T13" s="16">
        <v>72</v>
      </c>
      <c r="U13" s="29">
        <f>Questionnaire!D101</f>
        <v>0</v>
      </c>
      <c r="W13" s="16">
        <v>66</v>
      </c>
      <c r="X13" s="29">
        <f>Questionnaire!D93</f>
        <v>0</v>
      </c>
      <c r="Z13" s="16">
        <v>67</v>
      </c>
      <c r="AA13" s="29">
        <f>Questionnaire!D95</f>
        <v>0</v>
      </c>
    </row>
    <row r="14" spans="2:27" x14ac:dyDescent="0.3">
      <c r="B14" s="16">
        <v>80</v>
      </c>
      <c r="C14" s="29">
        <f>Questionnaire!D112</f>
        <v>0</v>
      </c>
      <c r="E14" s="16">
        <v>75</v>
      </c>
      <c r="F14" s="29">
        <f>Questionnaire!D105</f>
        <v>0</v>
      </c>
      <c r="H14" s="16">
        <v>77</v>
      </c>
      <c r="I14" s="29">
        <f>Questionnaire!D108</f>
        <v>0</v>
      </c>
      <c r="K14" s="16">
        <v>73</v>
      </c>
      <c r="L14" s="29">
        <f>Questionnaire!D103</f>
        <v>0</v>
      </c>
      <c r="N14" s="16">
        <v>78</v>
      </c>
      <c r="O14" s="29">
        <f>Questionnaire!D109</f>
        <v>0</v>
      </c>
      <c r="Q14" s="16">
        <v>79</v>
      </c>
      <c r="R14" s="29">
        <f>Questionnaire!D111</f>
        <v>0</v>
      </c>
      <c r="T14" s="16">
        <v>76</v>
      </c>
      <c r="U14" s="29">
        <f>Questionnaire!D107</f>
        <v>0</v>
      </c>
      <c r="W14" s="16">
        <v>81</v>
      </c>
      <c r="X14" s="29">
        <f>Questionnaire!D113</f>
        <v>0</v>
      </c>
      <c r="Z14" s="16">
        <v>74</v>
      </c>
      <c r="AA14" s="29">
        <f>Questionnaire!D104</f>
        <v>0</v>
      </c>
    </row>
    <row r="15" spans="2:27" ht="6" customHeight="1" x14ac:dyDescent="0.3"/>
    <row r="16" spans="2:27" x14ac:dyDescent="0.3">
      <c r="B16" s="16">
        <v>87</v>
      </c>
      <c r="C16" s="29">
        <f>Questionnaire!D121</f>
        <v>0</v>
      </c>
      <c r="E16" s="16">
        <v>90</v>
      </c>
      <c r="F16" s="29">
        <f>Questionnaire!D125</f>
        <v>0</v>
      </c>
      <c r="H16" s="16">
        <v>82</v>
      </c>
      <c r="I16" s="29">
        <f>Questionnaire!D115</f>
        <v>0</v>
      </c>
      <c r="K16" s="16">
        <v>85</v>
      </c>
      <c r="L16" s="29">
        <f>Questionnaire!D119</f>
        <v>0</v>
      </c>
      <c r="N16" s="16">
        <v>88</v>
      </c>
      <c r="O16" s="29">
        <f>Questionnaire!D123</f>
        <v>0</v>
      </c>
      <c r="Q16" s="16">
        <v>83</v>
      </c>
      <c r="R16" s="29">
        <f>Questionnaire!D116</f>
        <v>0</v>
      </c>
      <c r="T16" s="16">
        <v>86</v>
      </c>
      <c r="U16" s="29">
        <f>Questionnaire!D120</f>
        <v>0</v>
      </c>
      <c r="W16" s="16">
        <v>89</v>
      </c>
      <c r="X16" s="29">
        <f>Questionnaire!D124</f>
        <v>0</v>
      </c>
      <c r="Z16" s="16">
        <v>84</v>
      </c>
      <c r="AA16" s="29">
        <f>Questionnaire!D117</f>
        <v>0</v>
      </c>
    </row>
    <row r="17" spans="2:32" x14ac:dyDescent="0.3">
      <c r="B17" s="16">
        <v>98</v>
      </c>
      <c r="C17" s="29">
        <f>Questionnaire!D136</f>
        <v>0</v>
      </c>
      <c r="E17" s="16">
        <v>92</v>
      </c>
      <c r="F17" s="29">
        <f>Questionnaire!D128</f>
        <v>0</v>
      </c>
      <c r="H17" s="16">
        <v>96</v>
      </c>
      <c r="I17" s="29">
        <f>Questionnaire!D133</f>
        <v>0</v>
      </c>
      <c r="K17" s="16">
        <v>99</v>
      </c>
      <c r="L17" s="29">
        <f>Questionnaire!D137</f>
        <v>0</v>
      </c>
      <c r="N17" s="16">
        <v>93</v>
      </c>
      <c r="O17" s="29">
        <f>Questionnaire!D129</f>
        <v>0</v>
      </c>
      <c r="Q17" s="16">
        <v>94</v>
      </c>
      <c r="R17" s="29">
        <f>Questionnaire!D131</f>
        <v>0</v>
      </c>
      <c r="T17" s="16">
        <v>97</v>
      </c>
      <c r="U17" s="29">
        <f>Questionnaire!D135</f>
        <v>0</v>
      </c>
      <c r="W17" s="16">
        <v>91</v>
      </c>
      <c r="X17" s="29">
        <f>Questionnaire!D127</f>
        <v>0</v>
      </c>
      <c r="Z17" s="16">
        <v>95</v>
      </c>
      <c r="AA17" s="29">
        <f>Questionnaire!D132</f>
        <v>0</v>
      </c>
    </row>
    <row r="18" spans="2:32" x14ac:dyDescent="0.3">
      <c r="B18" s="16">
        <v>101</v>
      </c>
      <c r="C18" s="29">
        <f>Questionnaire!D140</f>
        <v>0</v>
      </c>
      <c r="E18" s="16">
        <v>102</v>
      </c>
      <c r="F18" s="29">
        <f>Questionnaire!D141</f>
        <v>0</v>
      </c>
      <c r="H18" s="16">
        <v>100</v>
      </c>
      <c r="I18" s="29">
        <f>Questionnaire!D139</f>
        <v>0</v>
      </c>
      <c r="K18" s="16">
        <v>103</v>
      </c>
      <c r="L18" s="29">
        <f>Questionnaire!D143</f>
        <v>0</v>
      </c>
      <c r="N18" s="16">
        <v>105</v>
      </c>
      <c r="O18" s="29">
        <f>Questionnaire!D145</f>
        <v>0</v>
      </c>
      <c r="Q18" s="16">
        <v>104</v>
      </c>
      <c r="R18" s="29">
        <f>Questionnaire!D144</f>
        <v>0</v>
      </c>
      <c r="T18" s="16">
        <v>106</v>
      </c>
      <c r="U18" s="29">
        <f>Questionnaire!D147</f>
        <v>0</v>
      </c>
      <c r="W18" s="16">
        <v>108</v>
      </c>
      <c r="X18" s="29">
        <f>Questionnaire!D149</f>
        <v>0</v>
      </c>
      <c r="Z18" s="16">
        <v>107</v>
      </c>
      <c r="AA18" s="29">
        <f>Questionnaire!D148</f>
        <v>0</v>
      </c>
    </row>
    <row r="19" spans="2:32" ht="6" customHeight="1" x14ac:dyDescent="0.3"/>
    <row r="20" spans="2:32" x14ac:dyDescent="0.3">
      <c r="B20" s="16">
        <v>114</v>
      </c>
      <c r="C20" s="29">
        <f>Questionnaire!D157</f>
        <v>0</v>
      </c>
      <c r="E20" s="16">
        <v>117</v>
      </c>
      <c r="F20" s="29">
        <f>Questionnaire!D161</f>
        <v>0</v>
      </c>
      <c r="H20" s="16">
        <v>109</v>
      </c>
      <c r="I20" s="29">
        <f>Questionnaire!D151</f>
        <v>0</v>
      </c>
      <c r="K20" s="16">
        <v>112</v>
      </c>
      <c r="L20" s="29">
        <f>Questionnaire!D155</f>
        <v>0</v>
      </c>
      <c r="N20" s="16">
        <v>115</v>
      </c>
      <c r="O20" s="29">
        <f>Questionnaire!D159</f>
        <v>0</v>
      </c>
      <c r="Q20" s="16">
        <v>110</v>
      </c>
      <c r="R20" s="29">
        <f>Questionnaire!D152</f>
        <v>0</v>
      </c>
      <c r="T20" s="16">
        <v>113</v>
      </c>
      <c r="U20" s="29">
        <f>Questionnaire!D156</f>
        <v>0</v>
      </c>
      <c r="W20" s="16">
        <v>116</v>
      </c>
      <c r="X20" s="29">
        <f>Questionnaire!D160</f>
        <v>0</v>
      </c>
      <c r="Z20" s="16">
        <v>111</v>
      </c>
      <c r="AA20" s="29">
        <f>Questionnaire!D153</f>
        <v>0</v>
      </c>
    </row>
    <row r="21" spans="2:32" x14ac:dyDescent="0.3">
      <c r="B21" s="16">
        <v>125</v>
      </c>
      <c r="C21" s="29">
        <f>Questionnaire!D172</f>
        <v>0</v>
      </c>
      <c r="E21" s="16">
        <v>119</v>
      </c>
      <c r="F21" s="29">
        <f>Questionnaire!D164</f>
        <v>0</v>
      </c>
      <c r="H21" s="16">
        <v>123</v>
      </c>
      <c r="I21" s="29">
        <f>Questionnaire!D169</f>
        <v>0</v>
      </c>
      <c r="K21" s="16">
        <v>126</v>
      </c>
      <c r="L21" s="29">
        <f>Questionnaire!D173</f>
        <v>0</v>
      </c>
      <c r="N21" s="16">
        <v>120</v>
      </c>
      <c r="O21" s="29">
        <f>Questionnaire!D165</f>
        <v>0</v>
      </c>
      <c r="Q21" s="16">
        <v>121</v>
      </c>
      <c r="R21" s="29">
        <f>Questionnaire!D167</f>
        <v>0</v>
      </c>
      <c r="T21" s="16">
        <v>124</v>
      </c>
      <c r="U21" s="29">
        <f>Questionnaire!D171</f>
        <v>0</v>
      </c>
      <c r="W21" s="16">
        <v>118</v>
      </c>
      <c r="X21" s="29">
        <f>Questionnaire!D163</f>
        <v>0</v>
      </c>
      <c r="Z21" s="16">
        <v>122</v>
      </c>
      <c r="AA21" s="29">
        <f>Questionnaire!D168</f>
        <v>0</v>
      </c>
    </row>
    <row r="22" spans="2:32" x14ac:dyDescent="0.3">
      <c r="B22" s="16">
        <v>128</v>
      </c>
      <c r="C22" s="29">
        <f>Questionnaire!D176</f>
        <v>0</v>
      </c>
      <c r="E22" s="16">
        <v>129</v>
      </c>
      <c r="F22" s="29">
        <f>Questionnaire!D177</f>
        <v>0</v>
      </c>
      <c r="H22" s="16">
        <v>127</v>
      </c>
      <c r="I22" s="29">
        <f>Questionnaire!D175</f>
        <v>0</v>
      </c>
      <c r="K22" s="16">
        <v>130</v>
      </c>
      <c r="L22" s="29">
        <f>Questionnaire!D179</f>
        <v>0</v>
      </c>
      <c r="N22" s="16">
        <v>132</v>
      </c>
      <c r="O22" s="29">
        <f>Questionnaire!D181</f>
        <v>0</v>
      </c>
      <c r="Q22" s="16">
        <v>131</v>
      </c>
      <c r="R22" s="29">
        <f>Questionnaire!D180</f>
        <v>0</v>
      </c>
      <c r="T22" s="16">
        <v>133</v>
      </c>
      <c r="U22" s="29">
        <f>Questionnaire!D183</f>
        <v>0</v>
      </c>
      <c r="W22" s="16">
        <v>135</v>
      </c>
      <c r="X22" s="29">
        <f>Questionnaire!D185</f>
        <v>0</v>
      </c>
      <c r="Z22" s="16">
        <v>134</v>
      </c>
      <c r="AA22" s="29">
        <f>Questionnaire!D184</f>
        <v>0</v>
      </c>
      <c r="AC22" t="s">
        <v>24</v>
      </c>
    </row>
    <row r="23" spans="2:32" ht="6" customHeight="1" x14ac:dyDescent="0.3"/>
    <row r="24" spans="2:32" ht="6" customHeight="1" x14ac:dyDescent="0.3"/>
    <row r="25" spans="2:32" x14ac:dyDescent="0.3">
      <c r="B25" s="16">
        <v>8</v>
      </c>
      <c r="C25" s="30">
        <f>SUM(C4:C22)</f>
        <v>0</v>
      </c>
      <c r="E25" s="16">
        <v>9</v>
      </c>
      <c r="F25" s="30">
        <f>SUM(F4:F22)</f>
        <v>0</v>
      </c>
      <c r="H25" s="16">
        <v>1</v>
      </c>
      <c r="I25" s="30">
        <f>SUM(I4:I22)</f>
        <v>0</v>
      </c>
      <c r="K25" s="16">
        <v>2</v>
      </c>
      <c r="L25" s="30">
        <f>SUM(L4:L22)</f>
        <v>0</v>
      </c>
      <c r="N25" s="16">
        <v>3</v>
      </c>
      <c r="O25" s="30">
        <f>SUM(O4:O22)</f>
        <v>0</v>
      </c>
      <c r="Q25" s="16">
        <v>4</v>
      </c>
      <c r="R25" s="30">
        <f>SUM(R4:R22)</f>
        <v>0</v>
      </c>
      <c r="T25" s="16">
        <v>5</v>
      </c>
      <c r="U25" s="30">
        <f>SUM(U4:U22)</f>
        <v>0</v>
      </c>
      <c r="W25" s="16">
        <v>6</v>
      </c>
      <c r="X25" s="30">
        <f>SUM(X4:X22)</f>
        <v>0</v>
      </c>
      <c r="Z25" s="16">
        <v>7</v>
      </c>
      <c r="AA25" s="30">
        <f>SUM(AA4:AA22)</f>
        <v>0</v>
      </c>
    </row>
    <row r="26" spans="2:32" x14ac:dyDescent="0.3">
      <c r="AC26" t="s">
        <v>30</v>
      </c>
      <c r="AD26" s="31" t="e">
        <f t="shared" ref="AD26:AD34" si="0">AE26/$AE$37</f>
        <v>#DIV/0!</v>
      </c>
      <c r="AE26">
        <f>F25</f>
        <v>0</v>
      </c>
    </row>
    <row r="27" spans="2:32" x14ac:dyDescent="0.3">
      <c r="AC27" t="s">
        <v>25</v>
      </c>
      <c r="AD27" s="31" t="e">
        <f t="shared" si="0"/>
        <v>#DIV/0!</v>
      </c>
      <c r="AE27">
        <f>I25</f>
        <v>0</v>
      </c>
    </row>
    <row r="28" spans="2:32" x14ac:dyDescent="0.3">
      <c r="AC28" t="s">
        <v>26</v>
      </c>
      <c r="AD28" s="31" t="e">
        <f t="shared" si="0"/>
        <v>#DIV/0!</v>
      </c>
      <c r="AE28">
        <f>L25</f>
        <v>0</v>
      </c>
    </row>
    <row r="29" spans="2:32" x14ac:dyDescent="0.3">
      <c r="AC29" t="s">
        <v>33</v>
      </c>
      <c r="AD29" s="31" t="e">
        <f t="shared" si="0"/>
        <v>#DIV/0!</v>
      </c>
      <c r="AE29">
        <f>O25</f>
        <v>0</v>
      </c>
    </row>
    <row r="30" spans="2:32" x14ac:dyDescent="0.3">
      <c r="AC30" t="s">
        <v>34</v>
      </c>
      <c r="AD30" s="31" t="e">
        <f t="shared" si="0"/>
        <v>#DIV/0!</v>
      </c>
      <c r="AE30">
        <f>R25</f>
        <v>0</v>
      </c>
    </row>
    <row r="31" spans="2:32" x14ac:dyDescent="0.3">
      <c r="AC31" t="s">
        <v>27</v>
      </c>
      <c r="AD31" s="31" t="e">
        <f t="shared" si="0"/>
        <v>#DIV/0!</v>
      </c>
      <c r="AE31">
        <f>U25</f>
        <v>0</v>
      </c>
      <c r="AF31" s="32"/>
    </row>
    <row r="32" spans="2:32" x14ac:dyDescent="0.3">
      <c r="AC32" t="s">
        <v>28</v>
      </c>
      <c r="AD32" s="31" t="e">
        <f t="shared" si="0"/>
        <v>#DIV/0!</v>
      </c>
      <c r="AE32">
        <f>X25</f>
        <v>0</v>
      </c>
    </row>
    <row r="33" spans="29:31" x14ac:dyDescent="0.3">
      <c r="AC33" t="s">
        <v>35</v>
      </c>
      <c r="AD33" s="31" t="e">
        <f t="shared" si="0"/>
        <v>#DIV/0!</v>
      </c>
      <c r="AE33">
        <f>AA25</f>
        <v>0</v>
      </c>
    </row>
    <row r="34" spans="29:31" x14ac:dyDescent="0.3">
      <c r="AC34" t="s">
        <v>29</v>
      </c>
      <c r="AD34" s="31" t="e">
        <f t="shared" si="0"/>
        <v>#DIV/0!</v>
      </c>
      <c r="AE34">
        <f>C25</f>
        <v>0</v>
      </c>
    </row>
    <row r="37" spans="29:31" x14ac:dyDescent="0.3">
      <c r="AD37" s="27" t="e">
        <f>SUM(AD26:AD34)</f>
        <v>#DIV/0!</v>
      </c>
      <c r="AE37" s="27">
        <f>SUM(AE26:AE34)</f>
        <v>0</v>
      </c>
    </row>
  </sheetData>
  <sheetProtection sheet="1" objects="1" scenarios="1"/>
  <phoneticPr fontId="8" type="noConversion"/>
  <pageMargins left="0.15748031496062992" right="0.15748031496062992" top="0.39370078740157483" bottom="0.39370078740157483" header="0.51181102362204722" footer="0.5118110236220472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view="pageLayout" topLeftCell="A15" zoomScaleNormal="100" workbookViewId="0">
      <selection activeCell="B30" sqref="B30"/>
    </sheetView>
  </sheetViews>
  <sheetFormatPr baseColWidth="10" defaultRowHeight="15.6" x14ac:dyDescent="0.3"/>
  <sheetData/>
  <phoneticPr fontId="8" type="noConversion"/>
  <pageMargins left="0.75" right="0.75" top="1" bottom="1" header="0.5" footer="0.5"/>
  <pageSetup paperSize="9" orientation="landscape" horizontalDpi="4294967292" vertic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Questionnaire</vt:lpstr>
      <vt:lpstr>Résultat</vt:lpstr>
      <vt:lpstr>Feuil1</vt:lpstr>
      <vt:lpstr>Questionnaire!Zone_d_impression</vt:lpstr>
    </vt:vector>
  </TitlesOfParts>
  <Company>Vodka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 D</dc:creator>
  <cp:lastModifiedBy>Asus</cp:lastModifiedBy>
  <cp:lastPrinted>2013-08-14T01:41:10Z</cp:lastPrinted>
  <dcterms:created xsi:type="dcterms:W3CDTF">2012-08-21T19:41:57Z</dcterms:created>
  <dcterms:modified xsi:type="dcterms:W3CDTF">2026-01-20T08:41:53Z</dcterms:modified>
</cp:coreProperties>
</file>